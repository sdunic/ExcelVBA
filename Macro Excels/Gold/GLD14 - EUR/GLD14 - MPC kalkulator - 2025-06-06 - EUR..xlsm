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GLD14 - EUR\"/>
    </mc:Choice>
  </mc:AlternateContent>
  <xr:revisionPtr revIDLastSave="0" documentId="13_ncr:1_{DC7A5D0F-600A-4455-9DAB-236A68B9E971}" xr6:coauthVersionLast="47" xr6:coauthVersionMax="47" xr10:uidLastSave="{00000000-0000-0000-0000-000000000000}"/>
  <bookViews>
    <workbookView xWindow="-120" yWindow="-120" windowWidth="32640" windowHeight="19770" xr2:uid="{00000000-000D-0000-FFFF-FFFF00000000}"/>
  </bookViews>
  <sheets>
    <sheet name="MPC_kalkulator" sheetId="3" r:id="rId1"/>
  </sheets>
  <functionGroups builtInGroupCount="19"/>
  <definedNames>
    <definedName name="_xlnm._FilterDatabase" localSheetId="0" hidden="1">MPC_kalkulator!$A$4:$AQ$76738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56" i="3" l="1" a="1"/>
  <c r="V59" i="3" a="1"/>
  <c r="V82" i="3" a="1"/>
  <c r="V76" i="3" a="1"/>
  <c r="V7" i="3" a="1"/>
  <c r="V45" i="3" a="1"/>
  <c r="V65" i="3" a="1"/>
  <c r="V49" i="3" a="1"/>
  <c r="V92" i="3" a="1"/>
  <c r="V83" i="3" a="1"/>
  <c r="V74" i="3" a="1"/>
  <c r="V69" i="3" a="1"/>
  <c r="V17" i="3" a="1"/>
  <c r="V41" i="3" a="1"/>
  <c r="V52" i="3" a="1"/>
  <c r="V53" i="3" a="1"/>
  <c r="V66" i="3" a="1"/>
  <c r="V54" i="3" a="1"/>
  <c r="V61" i="3" a="1"/>
  <c r="V80" i="3" a="1"/>
  <c r="V64" i="3" a="1"/>
  <c r="V11" i="3" a="1"/>
  <c r="V20" i="3" a="1"/>
  <c r="V71" i="3" a="1"/>
  <c r="V73" i="3" a="1"/>
  <c r="V5" i="3" a="1"/>
  <c r="V88" i="3" a="1"/>
  <c r="V81" i="3" a="1"/>
  <c r="V97" i="3" a="1"/>
  <c r="V70" i="3" a="1"/>
  <c r="V6" i="3" a="1"/>
  <c r="V67" i="3" a="1"/>
  <c r="V18" i="3" a="1"/>
  <c r="V72" i="3" a="1"/>
  <c r="V86" i="3" a="1"/>
  <c r="V8" i="3" a="1"/>
  <c r="V87" i="3" a="1"/>
  <c r="V36" i="3" a="1"/>
  <c r="V50" i="3" a="1"/>
  <c r="V10" i="3" a="1"/>
  <c r="V25" i="3" a="1"/>
  <c r="V75" i="3" a="1"/>
  <c r="V57" i="3" a="1"/>
  <c r="V84" i="3" a="1"/>
  <c r="V77" i="3" a="1"/>
  <c r="V12" i="3" a="1"/>
  <c r="V33" i="3" a="1"/>
  <c r="V27" i="3" a="1"/>
  <c r="V14" i="3" a="1"/>
  <c r="V23" i="3" a="1"/>
  <c r="V79" i="3" a="1"/>
  <c r="V60" i="3" a="1"/>
  <c r="V19" i="3" a="1"/>
  <c r="V16" i="3" a="1"/>
  <c r="V22" i="3" a="1"/>
  <c r="V30" i="3" a="1"/>
  <c r="V34" i="3" a="1"/>
  <c r="V15" i="3" a="1"/>
  <c r="V85" i="3" a="1"/>
  <c r="V91" i="3" a="1"/>
  <c r="V95" i="3" a="1"/>
  <c r="V99" i="3" a="1"/>
  <c r="V58" i="3" a="1"/>
  <c r="V24" i="3" a="1"/>
  <c r="V28" i="3" a="1"/>
  <c r="V32" i="3" a="1"/>
  <c r="V9" i="3" a="1"/>
  <c r="V100" i="3" a="1"/>
  <c r="V37" i="3" a="1"/>
  <c r="V94" i="3" a="1"/>
  <c r="V62" i="3" a="1"/>
  <c r="V68" i="3" a="1"/>
  <c r="V78" i="3" a="1"/>
  <c r="V89" i="3" a="1"/>
  <c r="V40" i="3" a="1"/>
  <c r="V90" i="3" a="1"/>
  <c r="V63" i="3" a="1"/>
  <c r="V55" i="3" a="1"/>
  <c r="V31" i="3" a="1"/>
  <c r="V47" i="3" a="1"/>
  <c r="V47" i="3" l="1"/>
  <c r="V31" i="3"/>
  <c r="V55" i="3"/>
  <c r="V63" i="3"/>
  <c r="V90" i="3"/>
  <c r="V40" i="3"/>
  <c r="V89" i="3"/>
  <c r="V78" i="3"/>
  <c r="V68" i="3"/>
  <c r="V62" i="3"/>
  <c r="V94" i="3"/>
  <c r="V37" i="3"/>
  <c r="V100" i="3"/>
  <c r="V9" i="3"/>
  <c r="V32" i="3"/>
  <c r="V28" i="3"/>
  <c r="V24" i="3"/>
  <c r="V58" i="3"/>
  <c r="V99" i="3"/>
  <c r="V95" i="3"/>
  <c r="V91" i="3"/>
  <c r="V85" i="3"/>
  <c r="V15" i="3"/>
  <c r="V34" i="3"/>
  <c r="V30" i="3"/>
  <c r="V22" i="3"/>
  <c r="V16" i="3"/>
  <c r="V19" i="3"/>
  <c r="V60" i="3"/>
  <c r="V79" i="3"/>
  <c r="V23" i="3"/>
  <c r="V14" i="3"/>
  <c r="V27" i="3"/>
  <c r="V33" i="3"/>
  <c r="V12" i="3"/>
  <c r="V77" i="3"/>
  <c r="V84" i="3"/>
  <c r="V57" i="3"/>
  <c r="V75" i="3"/>
  <c r="V25" i="3"/>
  <c r="V10" i="3"/>
  <c r="V50" i="3"/>
  <c r="V36" i="3"/>
  <c r="V87" i="3"/>
  <c r="V8" i="3"/>
  <c r="V86" i="3"/>
  <c r="V72" i="3"/>
  <c r="V18" i="3"/>
  <c r="V67" i="3"/>
  <c r="V6" i="3"/>
  <c r="V70" i="3"/>
  <c r="V97" i="3"/>
  <c r="V81" i="3"/>
  <c r="V88" i="3"/>
  <c r="V5" i="3"/>
  <c r="V73" i="3"/>
  <c r="V71" i="3"/>
  <c r="V20" i="3"/>
  <c r="V11" i="3"/>
  <c r="V64" i="3"/>
  <c r="V80" i="3"/>
  <c r="V61" i="3"/>
  <c r="V54" i="3"/>
  <c r="V66" i="3"/>
  <c r="V53" i="3"/>
  <c r="V52" i="3"/>
  <c r="V41" i="3"/>
  <c r="V17" i="3"/>
  <c r="V69" i="3"/>
  <c r="V74" i="3"/>
  <c r="V83" i="3"/>
  <c r="V92" i="3"/>
  <c r="V49" i="3"/>
  <c r="V65" i="3"/>
  <c r="V45" i="3"/>
  <c r="V7" i="3"/>
  <c r="V76" i="3"/>
  <c r="V82" i="3"/>
  <c r="V59" i="3"/>
  <c r="V56" i="3"/>
  <c r="Y63" i="3" a="1"/>
  <c r="Y89" i="3" a="1"/>
  <c r="Y78" i="3" a="1"/>
  <c r="Y24" i="3" a="1"/>
  <c r="Y76" i="3" a="1"/>
  <c r="Y54" i="3" a="1"/>
  <c r="Y79" i="3" a="1"/>
  <c r="Y65" i="3" a="1"/>
  <c r="Y59" i="3" a="1"/>
  <c r="Y94" i="3" a="1"/>
  <c r="Y91" i="3" a="1"/>
  <c r="Y37" i="3" a="1"/>
  <c r="Y100" i="3" a="1"/>
  <c r="Y9" i="3" a="1"/>
  <c r="Y32" i="3" a="1"/>
  <c r="Y22" i="3" a="1"/>
  <c r="Y23" i="3" a="1"/>
  <c r="Y87" i="3" a="1"/>
  <c r="Y67" i="3" a="1"/>
  <c r="Y69" i="3" a="1"/>
  <c r="Y58" i="3" a="1"/>
  <c r="Y99" i="3" a="1"/>
  <c r="Y19" i="3" a="1"/>
  <c r="Y85" i="3" a="1"/>
  <c r="Y15" i="3" a="1"/>
  <c r="Y34" i="3" a="1"/>
  <c r="Y12" i="3" a="1"/>
  <c r="Y57" i="3" a="1"/>
  <c r="Y72" i="3" a="1"/>
  <c r="Y6" i="3" a="1"/>
  <c r="Y11" i="3" a="1"/>
  <c r="Y53" i="3" a="1"/>
  <c r="Y82" i="3" a="1"/>
  <c r="Y55" i="3" a="1"/>
  <c r="Y56" i="3" a="1"/>
  <c r="Y86" i="3" a="1"/>
  <c r="Y81" i="3" a="1"/>
  <c r="Y74" i="3" a="1"/>
  <c r="Y83" i="3" a="1"/>
  <c r="Y68" i="3" a="1"/>
  <c r="Y60" i="3" a="1"/>
  <c r="Y36" i="3" a="1"/>
  <c r="Y64" i="3" a="1"/>
  <c r="Y33" i="3" a="1"/>
  <c r="Y97" i="3" a="1"/>
  <c r="Y52" i="3" a="1"/>
  <c r="Y41" i="3" a="1"/>
  <c r="Y17" i="3" a="1"/>
  <c r="Y28" i="3" a="1"/>
  <c r="Y27" i="3" a="1"/>
  <c r="Y84" i="3" a="1"/>
  <c r="Y18" i="3" a="1"/>
  <c r="Y5" i="3" a="1"/>
  <c r="Y71" i="3" a="1"/>
  <c r="Y66" i="3" a="1"/>
  <c r="Y8" i="3" a="1"/>
  <c r="Y88" i="3" a="1"/>
  <c r="Y47" i="3" a="1"/>
  <c r="Y90" i="3" a="1"/>
  <c r="Y95" i="3" a="1"/>
  <c r="Y10" i="3" a="1"/>
  <c r="Y70" i="3" a="1"/>
  <c r="Y61" i="3" a="1"/>
  <c r="Y62" i="3" a="1"/>
  <c r="Y25" i="3" a="1"/>
  <c r="Y73" i="3" a="1"/>
  <c r="Y75" i="3" a="1"/>
  <c r="Y31" i="3" a="1"/>
  <c r="Y77" i="3" a="1"/>
  <c r="Y20" i="3" a="1"/>
  <c r="Y30" i="3" a="1"/>
  <c r="Y14" i="3" a="1"/>
  <c r="Y49" i="3" a="1"/>
  <c r="Y45" i="3" a="1"/>
  <c r="Y92" i="3" a="1"/>
  <c r="Y50" i="3" a="1"/>
  <c r="Y16" i="3" a="1"/>
  <c r="Y40" i="3" a="1"/>
  <c r="Y80" i="3" a="1"/>
  <c r="Y80" i="3" l="1"/>
  <c r="Y40" i="3"/>
  <c r="Y16" i="3"/>
  <c r="Y50" i="3"/>
  <c r="Y92" i="3"/>
  <c r="Y45" i="3"/>
  <c r="Y49" i="3"/>
  <c r="Y14" i="3"/>
  <c r="Y30" i="3"/>
  <c r="Y20" i="3"/>
  <c r="Y77" i="3"/>
  <c r="Y31" i="3"/>
  <c r="Y75" i="3"/>
  <c r="Y73" i="3"/>
  <c r="Y25" i="3"/>
  <c r="Y62" i="3"/>
  <c r="Y61" i="3"/>
  <c r="Y70" i="3"/>
  <c r="Y10" i="3"/>
  <c r="Y95" i="3"/>
  <c r="Y90" i="3"/>
  <c r="Y47" i="3"/>
  <c r="Y88" i="3"/>
  <c r="Y8" i="3"/>
  <c r="Y66" i="3"/>
  <c r="Y71" i="3"/>
  <c r="Y5" i="3"/>
  <c r="Y18" i="3"/>
  <c r="Y84" i="3"/>
  <c r="Y27" i="3"/>
  <c r="Y28" i="3"/>
  <c r="Y17" i="3"/>
  <c r="Y41" i="3"/>
  <c r="Y52" i="3"/>
  <c r="Y97" i="3"/>
  <c r="Y33" i="3"/>
  <c r="Y64" i="3"/>
  <c r="Y36" i="3"/>
  <c r="Y60" i="3"/>
  <c r="Y68" i="3"/>
  <c r="Y83" i="3"/>
  <c r="Y74" i="3"/>
  <c r="Y81" i="3"/>
  <c r="Y86" i="3"/>
  <c r="Y56" i="3"/>
  <c r="Y55" i="3"/>
  <c r="Y82" i="3"/>
  <c r="Y53" i="3"/>
  <c r="Y11" i="3"/>
  <c r="Y6" i="3"/>
  <c r="Y72" i="3"/>
  <c r="Y57" i="3"/>
  <c r="Y12" i="3"/>
  <c r="Y34" i="3"/>
  <c r="Y15" i="3"/>
  <c r="Y85" i="3"/>
  <c r="Y19" i="3"/>
  <c r="Y99" i="3"/>
  <c r="Y58" i="3"/>
  <c r="Y69" i="3"/>
  <c r="Y67" i="3"/>
  <c r="Y87" i="3"/>
  <c r="Y23" i="3"/>
  <c r="Y22" i="3"/>
  <c r="Y32" i="3"/>
  <c r="Y9" i="3"/>
  <c r="Y100" i="3"/>
  <c r="Y37" i="3"/>
  <c r="Y91" i="3"/>
  <c r="Y94" i="3"/>
  <c r="Y59" i="3"/>
  <c r="Y65" i="3"/>
  <c r="Y79" i="3"/>
  <c r="Y54" i="3"/>
  <c r="Y76" i="3"/>
  <c r="Y24" i="3"/>
  <c r="Y78" i="3"/>
  <c r="Y89" i="3"/>
  <c r="Y63" i="3"/>
  <c r="AB31" i="3" a="1"/>
  <c r="AB97" i="3" a="1"/>
  <c r="AB23" i="3" a="1"/>
  <c r="AB89" i="3" a="1"/>
  <c r="AB14" i="3" a="1"/>
  <c r="AB36" i="3" a="1"/>
  <c r="AB83" i="3" a="1"/>
  <c r="AB81" i="3" a="1"/>
  <c r="AB12" i="3" a="1"/>
  <c r="AB59" i="3" a="1"/>
  <c r="AB75" i="3" a="1"/>
  <c r="AB61" i="3" a="1"/>
  <c r="AB84" i="3" a="1"/>
  <c r="AB28" i="3" a="1"/>
  <c r="AB32" i="3" a="1"/>
  <c r="AB73" i="3" a="1"/>
  <c r="AB88" i="3" a="1"/>
  <c r="AB66" i="3" a="1"/>
  <c r="AB64" i="3" a="1"/>
  <c r="AB19" i="3" a="1"/>
  <c r="AB99" i="3" a="1"/>
  <c r="AB9" i="3" a="1"/>
  <c r="AB79" i="3" a="1"/>
  <c r="AB50" i="3" a="1"/>
  <c r="AB60" i="3" a="1"/>
  <c r="AB55" i="3" a="1"/>
  <c r="AB40" i="3" a="1"/>
  <c r="AB71" i="3" a="1"/>
  <c r="AB100" i="3" a="1"/>
  <c r="AB30" i="3" a="1"/>
  <c r="AB74" i="3" a="1"/>
  <c r="AB67" i="3" a="1"/>
  <c r="AB54" i="3" a="1"/>
  <c r="AB47" i="3" a="1"/>
  <c r="AB68" i="3" a="1"/>
  <c r="AB82" i="3" a="1"/>
  <c r="AB11" i="3" a="1"/>
  <c r="AB34" i="3" a="1"/>
  <c r="AB37" i="3" a="1"/>
  <c r="AB94" i="3" a="1"/>
  <c r="AB62" i="3" a="1"/>
  <c r="AB10" i="3" a="1"/>
  <c r="AB95" i="3" a="1"/>
  <c r="AB8" i="3" a="1"/>
  <c r="AB86" i="3" a="1"/>
  <c r="AB15" i="3" a="1"/>
  <c r="AB24" i="3" a="1"/>
  <c r="AB53" i="3" a="1"/>
  <c r="AB6" i="3" a="1"/>
  <c r="AB72" i="3" a="1"/>
  <c r="AB58" i="3" a="1"/>
  <c r="AB49" i="3" a="1"/>
  <c r="AB18" i="3" a="1"/>
  <c r="AB17" i="3" a="1"/>
  <c r="AB22" i="3" a="1"/>
  <c r="AB25" i="3" a="1"/>
  <c r="AB41" i="3" a="1"/>
  <c r="AB57" i="3" a="1"/>
  <c r="AB63" i="3" a="1"/>
  <c r="AB80" i="3" a="1"/>
  <c r="AB20" i="3" a="1"/>
  <c r="AB27" i="3" a="1"/>
  <c r="AB52" i="3" a="1"/>
  <c r="AB16" i="3" a="1"/>
  <c r="AB90" i="3" a="1"/>
  <c r="AB5" i="3" a="1"/>
  <c r="AB87" i="3" a="1"/>
  <c r="AB65" i="3" a="1"/>
  <c r="AB76" i="3" a="1"/>
  <c r="AB70" i="3" a="1"/>
  <c r="AB33" i="3" a="1"/>
  <c r="AB56" i="3" a="1"/>
  <c r="AB85" i="3" a="1"/>
  <c r="AB91" i="3" a="1"/>
  <c r="AB92" i="3" a="1"/>
  <c r="AB45" i="3" a="1"/>
  <c r="AB77" i="3" a="1"/>
  <c r="AB69" i="3" a="1"/>
  <c r="AB78" i="3" a="1"/>
  <c r="AB78" i="3" l="1"/>
  <c r="AB69" i="3"/>
  <c r="AB77" i="3"/>
  <c r="AB45" i="3"/>
  <c r="AB92" i="3"/>
  <c r="AB91" i="3"/>
  <c r="AB85" i="3"/>
  <c r="AB56" i="3"/>
  <c r="AB33" i="3"/>
  <c r="AB70" i="3"/>
  <c r="AB76" i="3"/>
  <c r="AB65" i="3"/>
  <c r="AB87" i="3"/>
  <c r="AB5" i="3"/>
  <c r="AB90" i="3"/>
  <c r="AB16" i="3"/>
  <c r="AB52" i="3"/>
  <c r="AB27" i="3"/>
  <c r="AB20" i="3"/>
  <c r="AB80" i="3"/>
  <c r="AB63" i="3"/>
  <c r="AB57" i="3"/>
  <c r="AB41" i="3"/>
  <c r="AB25" i="3"/>
  <c r="AB22" i="3"/>
  <c r="AB17" i="3"/>
  <c r="AB18" i="3"/>
  <c r="AB49" i="3"/>
  <c r="AB58" i="3"/>
  <c r="AB72" i="3"/>
  <c r="AB6" i="3"/>
  <c r="AB53" i="3"/>
  <c r="AB24" i="3"/>
  <c r="AB15" i="3"/>
  <c r="AB86" i="3"/>
  <c r="AB8" i="3"/>
  <c r="AB95" i="3"/>
  <c r="AB10" i="3"/>
  <c r="AB62" i="3"/>
  <c r="AB94" i="3"/>
  <c r="AB37" i="3"/>
  <c r="AB34" i="3"/>
  <c r="AB11" i="3"/>
  <c r="AB82" i="3"/>
  <c r="AB68" i="3"/>
  <c r="AB47" i="3"/>
  <c r="AB54" i="3"/>
  <c r="AB67" i="3"/>
  <c r="AB74" i="3"/>
  <c r="AB30" i="3"/>
  <c r="AB100" i="3"/>
  <c r="AB71" i="3"/>
  <c r="AB40" i="3"/>
  <c r="AB55" i="3"/>
  <c r="AB60" i="3"/>
  <c r="AB50" i="3"/>
  <c r="AB79" i="3"/>
  <c r="AB9" i="3"/>
  <c r="AB99" i="3"/>
  <c r="AB19" i="3"/>
  <c r="AB64" i="3"/>
  <c r="AB66" i="3"/>
  <c r="AB88" i="3"/>
  <c r="AB73" i="3"/>
  <c r="AB32" i="3"/>
  <c r="AB28" i="3"/>
  <c r="AB84" i="3"/>
  <c r="AB61" i="3"/>
  <c r="AB75" i="3"/>
  <c r="AB59" i="3"/>
  <c r="AB12" i="3"/>
  <c r="AB81" i="3"/>
  <c r="AB83" i="3"/>
  <c r="AB36" i="3"/>
  <c r="AB14" i="3"/>
  <c r="AB89" i="3"/>
  <c r="AB23" i="3"/>
  <c r="AB97" i="3"/>
  <c r="AB31" i="3"/>
  <c r="AE52" i="3" a="1"/>
  <c r="AE8" i="3" a="1"/>
  <c r="AE84" i="3" a="1"/>
  <c r="AE75" i="3" a="1"/>
  <c r="AE14" i="3" a="1"/>
  <c r="AE53" i="3" a="1"/>
  <c r="AE67" i="3" a="1"/>
  <c r="AE50" i="3" a="1"/>
  <c r="AE32" i="3" a="1"/>
  <c r="AE87" i="3" a="1"/>
  <c r="AE5" i="3" a="1"/>
  <c r="AE10" i="3" a="1"/>
  <c r="AE60" i="3" a="1"/>
  <c r="AE97" i="3" a="1"/>
  <c r="AE92" i="3" a="1"/>
  <c r="AE20" i="3" a="1"/>
  <c r="AE18" i="3" a="1"/>
  <c r="AE62" i="3" a="1"/>
  <c r="AE89" i="3" a="1"/>
  <c r="AE34" i="3" a="1"/>
  <c r="AE100" i="3" a="1"/>
  <c r="AE40" i="3" a="1"/>
  <c r="AE77" i="3" a="1"/>
  <c r="AE49" i="3" a="1"/>
  <c r="AE58" i="3" a="1"/>
  <c r="AE94" i="3" a="1"/>
  <c r="AE79" i="3" a="1"/>
  <c r="AE36" i="3" a="1"/>
  <c r="AE33" i="3" a="1"/>
  <c r="AE57" i="3" a="1"/>
  <c r="AE72" i="3" a="1"/>
  <c r="AE17" i="3" a="1"/>
  <c r="AE6" i="3" a="1"/>
  <c r="AE37" i="3" a="1"/>
  <c r="AE83" i="3" a="1"/>
  <c r="AE22" i="3" a="1"/>
  <c r="AE85" i="3" a="1"/>
  <c r="AE90" i="3" a="1"/>
  <c r="AE27" i="3" a="1"/>
  <c r="AE25" i="3" a="1"/>
  <c r="AE15" i="3" a="1"/>
  <c r="AE99" i="3" a="1"/>
  <c r="AE23" i="3" a="1"/>
  <c r="AE31" i="3" a="1"/>
  <c r="AE78" i="3" a="1"/>
  <c r="AE76" i="3" a="1"/>
  <c r="AE65" i="3" a="1"/>
  <c r="AE41" i="3" a="1"/>
  <c r="AE24" i="3" a="1"/>
  <c r="AE19" i="3" a="1"/>
  <c r="AE88" i="3" a="1"/>
  <c r="AE12" i="3" a="1"/>
  <c r="AE91" i="3" a="1"/>
  <c r="AE68" i="3" a="1"/>
  <c r="AE30" i="3" a="1"/>
  <c r="AE55" i="3" a="1"/>
  <c r="AE9" i="3" a="1"/>
  <c r="AE63" i="3" a="1"/>
  <c r="AE11" i="3" a="1"/>
  <c r="AE47" i="3" a="1"/>
  <c r="AE28" i="3" a="1"/>
  <c r="AE45" i="3" a="1"/>
  <c r="AE16" i="3" a="1"/>
  <c r="AE54" i="3" a="1"/>
  <c r="AE81" i="3" a="1"/>
  <c r="AE95" i="3" a="1"/>
  <c r="AE95" i="3" l="1"/>
  <c r="AE81" i="3"/>
  <c r="AE54" i="3"/>
  <c r="AE16" i="3"/>
  <c r="AE45" i="3"/>
  <c r="AE28" i="3"/>
  <c r="AE47" i="3"/>
  <c r="AE11" i="3"/>
  <c r="AE63" i="3"/>
  <c r="AE9" i="3"/>
  <c r="AE55" i="3"/>
  <c r="AE30" i="3"/>
  <c r="AE68" i="3"/>
  <c r="AE91" i="3"/>
  <c r="AE12" i="3"/>
  <c r="AE88" i="3"/>
  <c r="AE19" i="3"/>
  <c r="AE24" i="3"/>
  <c r="AE41" i="3"/>
  <c r="AE65" i="3"/>
  <c r="AE76" i="3"/>
  <c r="AE78" i="3"/>
  <c r="AE31" i="3"/>
  <c r="AE23" i="3"/>
  <c r="AE99" i="3"/>
  <c r="AE15" i="3"/>
  <c r="AE25" i="3"/>
  <c r="AE27" i="3"/>
  <c r="AE90" i="3"/>
  <c r="AE85" i="3"/>
  <c r="AE22" i="3"/>
  <c r="AE83" i="3"/>
  <c r="AE37" i="3"/>
  <c r="AE6" i="3"/>
  <c r="AE17" i="3"/>
  <c r="AE72" i="3"/>
  <c r="AE57" i="3"/>
  <c r="AE33" i="3"/>
  <c r="AE36" i="3"/>
  <c r="AE79" i="3"/>
  <c r="AE94" i="3"/>
  <c r="AE58" i="3"/>
  <c r="AE49" i="3"/>
  <c r="AE77" i="3"/>
  <c r="AE40" i="3"/>
  <c r="AE100" i="3"/>
  <c r="AE34" i="3"/>
  <c r="AE89" i="3"/>
  <c r="AE62" i="3"/>
  <c r="AE18" i="3"/>
  <c r="AE20" i="3"/>
  <c r="AE92" i="3"/>
  <c r="AE97" i="3"/>
  <c r="AE60" i="3"/>
  <c r="AE10" i="3"/>
  <c r="AE5" i="3"/>
  <c r="AE87" i="3"/>
  <c r="AE32" i="3"/>
  <c r="AE50" i="3"/>
  <c r="AE67" i="3"/>
  <c r="AE53" i="3"/>
  <c r="AE14" i="3"/>
  <c r="AE75" i="3"/>
  <c r="AE84" i="3"/>
  <c r="AE8" i="3"/>
  <c r="AE52" i="3"/>
  <c r="AH16" i="3" a="1"/>
  <c r="AH28" i="3" a="1"/>
  <c r="AH47" i="3" a="1"/>
  <c r="AH11" i="3" a="1"/>
  <c r="AH95" i="3" a="1"/>
  <c r="AH63" i="3" a="1"/>
  <c r="AH81" i="3" a="1"/>
  <c r="AH54" i="3" a="1"/>
  <c r="AH45" i="3" a="1"/>
  <c r="AH30" i="3" a="1"/>
  <c r="AH68" i="3" a="1"/>
  <c r="AH91" i="3" a="1"/>
  <c r="AH78" i="3" a="1"/>
  <c r="AH41" i="3" a="1"/>
  <c r="AH88" i="3" a="1"/>
  <c r="AH65" i="3" a="1"/>
  <c r="AH24" i="3" a="1"/>
  <c r="AH76" i="3" a="1"/>
  <c r="AH9" i="3" a="1"/>
  <c r="AH23" i="3" a="1"/>
  <c r="AH19" i="3" a="1"/>
  <c r="AH31" i="3" a="1"/>
  <c r="AH12" i="3" a="1"/>
  <c r="AH55" i="3" a="1"/>
  <c r="AH99" i="3" a="1"/>
  <c r="AH25" i="3" a="1"/>
  <c r="AH37" i="3" a="1"/>
  <c r="AH27" i="3" a="1"/>
  <c r="AH22" i="3" a="1"/>
  <c r="AH83" i="3" a="1"/>
  <c r="AH6" i="3" a="1"/>
  <c r="AH17" i="3" a="1"/>
  <c r="AH90" i="3" a="1"/>
  <c r="AH15" i="3" a="1"/>
  <c r="AH85" i="3" a="1"/>
  <c r="AH33" i="3" a="1"/>
  <c r="AH49" i="3" a="1"/>
  <c r="AH57" i="3" a="1"/>
  <c r="AH58" i="3" a="1"/>
  <c r="AH79" i="3" a="1"/>
  <c r="AH72" i="3" a="1"/>
  <c r="AH36" i="3" a="1"/>
  <c r="AH94" i="3" a="1"/>
  <c r="AH40" i="3" a="1"/>
  <c r="AH60" i="3" a="1"/>
  <c r="AH5" i="3" a="1"/>
  <c r="AH100" i="3" a="1"/>
  <c r="AH62" i="3" a="1"/>
  <c r="AH18" i="3" a="1"/>
  <c r="AH20" i="3" a="1"/>
  <c r="AH77" i="3" a="1"/>
  <c r="AH34" i="3" a="1"/>
  <c r="AH87" i="3" a="1"/>
  <c r="AH97" i="3" a="1"/>
  <c r="AH92" i="3" a="1"/>
  <c r="AH89" i="3" a="1"/>
  <c r="AH10" i="3" a="1"/>
  <c r="AH67" i="3" a="1"/>
  <c r="AH50" i="3" a="1"/>
  <c r="AH53" i="3" a="1"/>
  <c r="AH14" i="3" a="1"/>
  <c r="AH75" i="3" a="1"/>
  <c r="AH52" i="3" a="1"/>
  <c r="AH8" i="3" a="1"/>
  <c r="AH32" i="3" a="1"/>
  <c r="AH84" i="3" a="1"/>
  <c r="AH84" i="3" l="1"/>
  <c r="AH32" i="3"/>
  <c r="AH8" i="3"/>
  <c r="AH52" i="3"/>
  <c r="AH75" i="3"/>
  <c r="AH14" i="3"/>
  <c r="AH53" i="3"/>
  <c r="AH50" i="3"/>
  <c r="AH67" i="3"/>
  <c r="AH10" i="3"/>
  <c r="AH89" i="3"/>
  <c r="AH92" i="3"/>
  <c r="AH97" i="3"/>
  <c r="AH87" i="3"/>
  <c r="AH34" i="3"/>
  <c r="AH77" i="3"/>
  <c r="AH20" i="3"/>
  <c r="AH18" i="3"/>
  <c r="AH62" i="3"/>
  <c r="AH100" i="3"/>
  <c r="AH5" i="3"/>
  <c r="AH60" i="3"/>
  <c r="AH40" i="3"/>
  <c r="AH94" i="3"/>
  <c r="AH36" i="3"/>
  <c r="AH72" i="3"/>
  <c r="AH79" i="3"/>
  <c r="AH58" i="3"/>
  <c r="AH57" i="3"/>
  <c r="AH49" i="3"/>
  <c r="AH33" i="3"/>
  <c r="AH85" i="3"/>
  <c r="AH15" i="3"/>
  <c r="AH90" i="3"/>
  <c r="AH17" i="3"/>
  <c r="AH6" i="3"/>
  <c r="AH83" i="3"/>
  <c r="AH22" i="3"/>
  <c r="AH27" i="3"/>
  <c r="AH37" i="3"/>
  <c r="AH25" i="3"/>
  <c r="AH99" i="3"/>
  <c r="AH55" i="3"/>
  <c r="AH12" i="3"/>
  <c r="AH31" i="3"/>
  <c r="AH19" i="3"/>
  <c r="AH23" i="3"/>
  <c r="AH9" i="3"/>
  <c r="AH76" i="3"/>
  <c r="AH24" i="3"/>
  <c r="AH65" i="3"/>
  <c r="AH88" i="3"/>
  <c r="AH41" i="3"/>
  <c r="AH78" i="3"/>
  <c r="AH91" i="3"/>
  <c r="AH68" i="3"/>
  <c r="AH30" i="3"/>
  <c r="AH45" i="3"/>
  <c r="AH54" i="3"/>
  <c r="AH81" i="3"/>
  <c r="AH63" i="3"/>
  <c r="AH95" i="3"/>
  <c r="AH11" i="3"/>
  <c r="AH47" i="3"/>
  <c r="AH28" i="3"/>
  <c r="AH16" i="3"/>
  <c r="AK32" i="3" a="1"/>
  <c r="AK10" i="3" a="1"/>
  <c r="AK8" i="3" a="1"/>
  <c r="AK50" i="3" a="1"/>
  <c r="AK89" i="3" a="1"/>
  <c r="AK84" i="3" a="1"/>
  <c r="AK52" i="3" a="1"/>
  <c r="AK67" i="3" a="1"/>
  <c r="AK97" i="3" a="1"/>
  <c r="AK75" i="3" a="1"/>
  <c r="AK14" i="3" a="1"/>
  <c r="AK92" i="3" a="1"/>
  <c r="AK34" i="3" a="1"/>
  <c r="AK87" i="3" a="1"/>
  <c r="AK53" i="3" a="1"/>
  <c r="AK57" i="3" a="1"/>
  <c r="AK77" i="3" a="1"/>
  <c r="AK85" i="3" a="1"/>
  <c r="AK62" i="3" a="1"/>
  <c r="AK72" i="3" a="1"/>
  <c r="AK5" i="3" a="1"/>
  <c r="AK40" i="3" a="1"/>
  <c r="AK33" i="3" a="1"/>
  <c r="AK79" i="3" a="1"/>
  <c r="AK100" i="3" a="1"/>
  <c r="AK20" i="3" a="1"/>
  <c r="AK49" i="3" a="1"/>
  <c r="AK94" i="3" a="1"/>
  <c r="AK60" i="3" a="1"/>
  <c r="AK36" i="3" a="1"/>
  <c r="AK58" i="3" a="1"/>
  <c r="AK99" i="3" a="1"/>
  <c r="AK31" i="3" a="1"/>
  <c r="AK88" i="3" a="1"/>
  <c r="AK6" i="3" a="1"/>
  <c r="AK37" i="3" a="1"/>
  <c r="AK41" i="3" a="1"/>
  <c r="AK15" i="3" a="1"/>
  <c r="AK27" i="3" a="1"/>
  <c r="AK65" i="3" a="1"/>
  <c r="AK19" i="3" a="1"/>
  <c r="AK90" i="3" a="1"/>
  <c r="AK76" i="3" a="1"/>
  <c r="AK23" i="3" a="1"/>
  <c r="AK83" i="3" a="1"/>
  <c r="AK9" i="3" a="1"/>
  <c r="AK55" i="3" a="1"/>
  <c r="AK22" i="3" a="1"/>
  <c r="AK24" i="3" a="1"/>
  <c r="AK25" i="3" a="1"/>
  <c r="AK12" i="3" a="1"/>
  <c r="AK17" i="3" a="1"/>
  <c r="AK68" i="3" a="1"/>
  <c r="AK91" i="3" a="1"/>
  <c r="AK30" i="3" a="1"/>
  <c r="AK45" i="3" a="1"/>
  <c r="AK16" i="3" a="1"/>
  <c r="AK95" i="3" a="1"/>
  <c r="AK81" i="3" a="1"/>
  <c r="AK28" i="3" a="1"/>
  <c r="AK63" i="3" a="1"/>
  <c r="AK47" i="3" a="1"/>
  <c r="AK78" i="3" a="1"/>
  <c r="AK54" i="3" a="1"/>
  <c r="AK11" i="3" a="1"/>
  <c r="AK18" i="3" a="1"/>
  <c r="AK18" i="3" l="1"/>
  <c r="AK11" i="3"/>
  <c r="AK54" i="3"/>
  <c r="AK78" i="3"/>
  <c r="AK47" i="3"/>
  <c r="AK63" i="3"/>
  <c r="AK28" i="3"/>
  <c r="AK81" i="3"/>
  <c r="AK95" i="3"/>
  <c r="AK16" i="3"/>
  <c r="AK45" i="3"/>
  <c r="AK30" i="3"/>
  <c r="AK91" i="3"/>
  <c r="AK68" i="3"/>
  <c r="AK17" i="3"/>
  <c r="AK12" i="3"/>
  <c r="AK25" i="3"/>
  <c r="AK24" i="3"/>
  <c r="AK22" i="3"/>
  <c r="AK55" i="3"/>
  <c r="AK9" i="3"/>
  <c r="AK83" i="3"/>
  <c r="AK23" i="3"/>
  <c r="AK76" i="3"/>
  <c r="AK90" i="3"/>
  <c r="AK19" i="3"/>
  <c r="AK65" i="3"/>
  <c r="AK27" i="3"/>
  <c r="AK15" i="3"/>
  <c r="AK41" i="3"/>
  <c r="AK37" i="3"/>
  <c r="AK6" i="3"/>
  <c r="AK88" i="3"/>
  <c r="AK31" i="3"/>
  <c r="AK99" i="3"/>
  <c r="AK58" i="3"/>
  <c r="AK36" i="3"/>
  <c r="AK60" i="3"/>
  <c r="AK94" i="3"/>
  <c r="AK49" i="3"/>
  <c r="AK20" i="3"/>
  <c r="AK100" i="3"/>
  <c r="AK79" i="3"/>
  <c r="AK33" i="3"/>
  <c r="AK40" i="3"/>
  <c r="AK5" i="3"/>
  <c r="AK72" i="3"/>
  <c r="AK62" i="3"/>
  <c r="AK85" i="3"/>
  <c r="AK77" i="3"/>
  <c r="AK57" i="3"/>
  <c r="AK53" i="3"/>
  <c r="AK87" i="3"/>
  <c r="AK34" i="3"/>
  <c r="AK92" i="3"/>
  <c r="AK14" i="3"/>
  <c r="AK75" i="3"/>
  <c r="AK97" i="3"/>
  <c r="AK67" i="3"/>
  <c r="AK52" i="3"/>
  <c r="AK84" i="3"/>
  <c r="AK89" i="3"/>
  <c r="AK50" i="3"/>
  <c r="AK8" i="3"/>
  <c r="AK10" i="3"/>
  <c r="AK32" i="3"/>
  <c r="AN63" i="3" a="1"/>
  <c r="AN25" i="3" a="1"/>
  <c r="AN91" i="3" a="1"/>
  <c r="AN68" i="3" a="1"/>
  <c r="AN28" i="3" a="1"/>
  <c r="AN95" i="3" a="1"/>
  <c r="AN16" i="3" a="1"/>
  <c r="AN30" i="3" a="1"/>
  <c r="AN81" i="3" a="1"/>
  <c r="AN47" i="3" a="1"/>
  <c r="AN12" i="3" a="1"/>
  <c r="AN45" i="3" a="1"/>
  <c r="AN54" i="3" a="1"/>
  <c r="AN78" i="3" a="1"/>
  <c r="AN18" i="3" a="1"/>
  <c r="AN11" i="3" a="1"/>
  <c r="AN27" i="3" a="1"/>
  <c r="AN37" i="3" a="1"/>
  <c r="AN90" i="3" a="1"/>
  <c r="AN15" i="3" a="1"/>
  <c r="AN31" i="3" a="1"/>
  <c r="AN83" i="3" a="1"/>
  <c r="AN23" i="3" a="1"/>
  <c r="AN17" i="3" a="1"/>
  <c r="AN9" i="3" a="1"/>
  <c r="AN6" i="3" a="1"/>
  <c r="AN65" i="3" a="1"/>
  <c r="AN94" i="3" a="1"/>
  <c r="AN24" i="3" a="1"/>
  <c r="AN22" i="3" a="1"/>
  <c r="AN55" i="3" a="1"/>
  <c r="AN19" i="3" a="1"/>
  <c r="AN88" i="3" a="1"/>
  <c r="AN99" i="3" a="1"/>
  <c r="AN36" i="3" a="1"/>
  <c r="AN76" i="3" a="1"/>
  <c r="AN58" i="3" a="1"/>
  <c r="AN41" i="3" a="1"/>
  <c r="AN60" i="3" a="1"/>
  <c r="AN79" i="3" a="1"/>
  <c r="AN34" i="3" a="1"/>
  <c r="AN67" i="3" a="1"/>
  <c r="AN20" i="3" a="1"/>
  <c r="AN77" i="3" a="1"/>
  <c r="AN92" i="3" a="1"/>
  <c r="AN10" i="3" a="1"/>
  <c r="AN85" i="3" a="1"/>
  <c r="AN49" i="3" a="1"/>
  <c r="AN89" i="3" a="1"/>
  <c r="AN14" i="3" a="1"/>
  <c r="AN75" i="3" a="1"/>
  <c r="AN62" i="3" a="1"/>
  <c r="AN87" i="3" a="1"/>
  <c r="AN84" i="3" a="1"/>
  <c r="AN40" i="3" a="1"/>
  <c r="AN5" i="3" a="1"/>
  <c r="AN57" i="3" a="1"/>
  <c r="AN33" i="3" a="1"/>
  <c r="AN50" i="3" a="1"/>
  <c r="AN100" i="3" a="1"/>
  <c r="AN97" i="3" a="1"/>
  <c r="AN52" i="3" a="1"/>
  <c r="AN72" i="3" a="1"/>
  <c r="AN53" i="3" a="1"/>
  <c r="AN32" i="3" a="1"/>
  <c r="AN8" i="3" a="1"/>
  <c r="AN8" i="3" l="1"/>
  <c r="AN32" i="3"/>
  <c r="AN53" i="3"/>
  <c r="AN72" i="3"/>
  <c r="AN52" i="3"/>
  <c r="AN97" i="3"/>
  <c r="AN100" i="3"/>
  <c r="AN50" i="3"/>
  <c r="AN33" i="3"/>
  <c r="AN57" i="3"/>
  <c r="AN5" i="3"/>
  <c r="AN40" i="3"/>
  <c r="AN84" i="3"/>
  <c r="AN87" i="3"/>
  <c r="AN62" i="3"/>
  <c r="AN75" i="3"/>
  <c r="AN14" i="3"/>
  <c r="AN89" i="3"/>
  <c r="AN49" i="3"/>
  <c r="AN85" i="3"/>
  <c r="AN10" i="3"/>
  <c r="AN92" i="3"/>
  <c r="AN77" i="3"/>
  <c r="AN20" i="3"/>
  <c r="AN67" i="3"/>
  <c r="AN34" i="3"/>
  <c r="AN79" i="3"/>
  <c r="AN60" i="3"/>
  <c r="AN41" i="3"/>
  <c r="AN58" i="3"/>
  <c r="AN76" i="3"/>
  <c r="AN36" i="3"/>
  <c r="AN99" i="3"/>
  <c r="AN88" i="3"/>
  <c r="AN19" i="3"/>
  <c r="AN55" i="3"/>
  <c r="AN22" i="3"/>
  <c r="AN24" i="3"/>
  <c r="AN94" i="3"/>
  <c r="AN65" i="3"/>
  <c r="AN6" i="3"/>
  <c r="AN9" i="3"/>
  <c r="AN17" i="3"/>
  <c r="AN23" i="3"/>
  <c r="AN83" i="3"/>
  <c r="AN31" i="3"/>
  <c r="AN15" i="3"/>
  <c r="AN90" i="3"/>
  <c r="AN37" i="3"/>
  <c r="AN27" i="3"/>
  <c r="AN11" i="3"/>
  <c r="AN18" i="3"/>
  <c r="AN78" i="3"/>
  <c r="AN54" i="3"/>
  <c r="AN45" i="3"/>
  <c r="AN12" i="3"/>
  <c r="AN47" i="3"/>
  <c r="AN81" i="3"/>
  <c r="AN30" i="3"/>
  <c r="AN16" i="3"/>
  <c r="AN95" i="3"/>
  <c r="AN28" i="3"/>
  <c r="AN68" i="3"/>
  <c r="AN91" i="3"/>
  <c r="AN25" i="3"/>
  <c r="AN63" i="3"/>
  <c r="AQ52" i="3" a="1"/>
  <c r="AQ14" i="3" a="1"/>
  <c r="AQ92" i="3" a="1"/>
  <c r="AQ65" i="3" a="1"/>
  <c r="AQ36" i="3" a="1"/>
  <c r="AQ17" i="3" a="1"/>
  <c r="AQ27" i="3" a="1"/>
  <c r="AQ100" i="3" a="1"/>
  <c r="AQ84" i="3" a="1"/>
  <c r="AQ62" i="3" a="1"/>
  <c r="AQ55" i="3" a="1"/>
  <c r="AQ15" i="3" a="1"/>
  <c r="AQ90" i="3" a="1"/>
  <c r="AQ60" i="3" a="1"/>
  <c r="AQ32" i="3" a="1"/>
  <c r="AQ79" i="3" a="1"/>
  <c r="AQ94" i="3" a="1"/>
  <c r="AQ77" i="3" a="1"/>
  <c r="AQ67" i="3" a="1"/>
  <c r="AQ41" i="3" a="1"/>
  <c r="AQ58" i="3" a="1"/>
  <c r="AQ99" i="3" a="1"/>
  <c r="AQ72" i="3" a="1"/>
  <c r="AQ20" i="3" a="1"/>
  <c r="AQ88" i="3" a="1"/>
  <c r="AQ6" i="3" a="1"/>
  <c r="AQ22" i="3" a="1"/>
  <c r="AQ9" i="3" a="1"/>
  <c r="AQ31" i="3" a="1"/>
  <c r="AQ97" i="3" a="1"/>
  <c r="AQ33" i="3" a="1"/>
  <c r="AQ24" i="3" a="1"/>
  <c r="AQ57" i="3" a="1"/>
  <c r="AQ75" i="3" a="1"/>
  <c r="AQ5" i="3" a="1"/>
  <c r="AQ87" i="3" a="1"/>
  <c r="AQ89" i="3" a="1"/>
  <c r="AQ49" i="3" a="1"/>
  <c r="AQ10" i="3" a="1"/>
  <c r="AQ8" i="3" a="1"/>
  <c r="AQ40" i="3" a="1"/>
  <c r="AQ85" i="3" a="1"/>
  <c r="AQ23" i="3" a="1"/>
  <c r="AQ37" i="3" a="1"/>
  <c r="AQ34" i="3" a="1"/>
  <c r="AQ19" i="3" a="1"/>
  <c r="AQ50" i="3" a="1"/>
  <c r="AQ45" i="3" a="1"/>
  <c r="AQ47" i="3" a="1"/>
  <c r="AQ30" i="3" a="1"/>
  <c r="AQ63" i="3" a="1"/>
  <c r="AQ25" i="3" a="1"/>
  <c r="AQ12" i="3" a="1"/>
  <c r="AQ78" i="3" a="1"/>
  <c r="AQ81" i="3" a="1"/>
  <c r="AQ11" i="3" a="1"/>
  <c r="AQ95" i="3" a="1"/>
  <c r="AQ16" i="3" a="1"/>
  <c r="AQ68" i="3" a="1"/>
  <c r="AQ91" i="3" a="1"/>
  <c r="AQ18" i="3" a="1"/>
  <c r="AQ28" i="3" a="1"/>
  <c r="AQ28" i="3" l="1"/>
  <c r="AQ18" i="3"/>
  <c r="AQ91" i="3"/>
  <c r="AQ68" i="3"/>
  <c r="AQ16" i="3"/>
  <c r="AQ95" i="3"/>
  <c r="AQ11" i="3"/>
  <c r="AQ81" i="3"/>
  <c r="AQ78" i="3"/>
  <c r="AQ12" i="3"/>
  <c r="AQ25" i="3"/>
  <c r="AQ63" i="3"/>
  <c r="AQ30" i="3"/>
  <c r="AQ47" i="3"/>
  <c r="AQ45" i="3"/>
  <c r="AQ50" i="3"/>
  <c r="AQ19" i="3"/>
  <c r="AQ34" i="3"/>
  <c r="AQ37" i="3"/>
  <c r="AQ23" i="3"/>
  <c r="AQ85" i="3"/>
  <c r="AQ40" i="3"/>
  <c r="AQ8" i="3"/>
  <c r="AQ10" i="3"/>
  <c r="AQ49" i="3"/>
  <c r="AQ89" i="3"/>
  <c r="AQ87" i="3"/>
  <c r="AQ5" i="3"/>
  <c r="AQ75" i="3"/>
  <c r="AQ57" i="3"/>
  <c r="AQ24" i="3"/>
  <c r="AQ33" i="3"/>
  <c r="AQ97" i="3"/>
  <c r="AQ31" i="3"/>
  <c r="AQ9" i="3"/>
  <c r="AQ22" i="3"/>
  <c r="AQ6" i="3"/>
  <c r="AQ88" i="3"/>
  <c r="AQ20" i="3"/>
  <c r="AQ72" i="3"/>
  <c r="AQ99" i="3"/>
  <c r="AQ58" i="3"/>
  <c r="AQ41" i="3"/>
  <c r="AQ67" i="3"/>
  <c r="AQ77" i="3"/>
  <c r="AQ94" i="3"/>
  <c r="AQ79" i="3"/>
  <c r="AQ32" i="3"/>
  <c r="AQ60" i="3"/>
  <c r="AQ90" i="3"/>
  <c r="AQ15" i="3"/>
  <c r="AQ55" i="3"/>
  <c r="AQ62" i="3"/>
  <c r="AQ84" i="3"/>
  <c r="AQ100" i="3"/>
  <c r="AQ27" i="3"/>
  <c r="AQ17" i="3"/>
  <c r="AQ36" i="3"/>
  <c r="AQ65" i="3"/>
  <c r="AQ92" i="3"/>
  <c r="AQ14" i="3"/>
  <c r="AQ5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<sst xmlns="http://schemas.openxmlformats.org/spreadsheetml/2006/main" count="1581" uniqueCount="502">
  <si>
    <t>MPC KALKULATOR</t>
  </si>
  <si>
    <t>CEXR</t>
  </si>
  <si>
    <t>CEXV</t>
  </si>
  <si>
    <t>CINV</t>
  </si>
  <si>
    <t>NAZIV</t>
  </si>
  <si>
    <t>BARKOD</t>
  </si>
  <si>
    <t>NIVO_1</t>
  </si>
  <si>
    <t>NIVO_1_OPIS</t>
  </si>
  <si>
    <t>NIVO_2</t>
  </si>
  <si>
    <t>NIVO_2_OPIS</t>
  </si>
  <si>
    <t>NIVO_3</t>
  </si>
  <si>
    <t>NIVO_3_OPIS</t>
  </si>
  <si>
    <t>NIVO_4</t>
  </si>
  <si>
    <t>NIVO_4_OPIS</t>
  </si>
  <si>
    <t>NIVO_5</t>
  </si>
  <si>
    <t>NIVO_5_OPIS</t>
  </si>
  <si>
    <t>DATUM</t>
  </si>
  <si>
    <t>OPIS</t>
  </si>
  <si>
    <t>SVOJSTVO</t>
  </si>
  <si>
    <t>OSNOVNA_CIJENA</t>
  </si>
  <si>
    <t>MPC_A_NTAR</t>
  </si>
  <si>
    <t>MPC_A_CIJENA</t>
  </si>
  <si>
    <t>PRIJEDLOG_MPC_A_CIJENA</t>
  </si>
  <si>
    <t>MPC_B_NTAR</t>
  </si>
  <si>
    <t>MPC_B_CIJENA</t>
  </si>
  <si>
    <t>PRIJEDLOG_MPC_B_CIJENA</t>
  </si>
  <si>
    <t>MPC_C_NTAR</t>
  </si>
  <si>
    <t>MPC_C_CIJENA</t>
  </si>
  <si>
    <t>PRIJEDLOG_MPC_C_CIJENA</t>
  </si>
  <si>
    <t>MPC_D_NTAR</t>
  </si>
  <si>
    <t>MPC_D_CIJENA</t>
  </si>
  <si>
    <t>PRIJEDLOG_MPC_D_CIJENA</t>
  </si>
  <si>
    <t>MPC_S1_NTAR</t>
  </si>
  <si>
    <t>MPC_S1_CIJENA</t>
  </si>
  <si>
    <t>PRIJEDLOG_MPC_S1_CIJENA</t>
  </si>
  <si>
    <t>MPC_S2_NTAR</t>
  </si>
  <si>
    <t>MPC_S2_CIJENA</t>
  </si>
  <si>
    <t>PRIJEDLOG_MPC_S2_CIJENA</t>
  </si>
  <si>
    <t>MPC_S3_NTAR</t>
  </si>
  <si>
    <t>MPC_S3_CIJENA</t>
  </si>
  <si>
    <t>PRIJEDLOG_MPC_S3_CIJENA</t>
  </si>
  <si>
    <t>MPC_KAMP_NTAR</t>
  </si>
  <si>
    <t>MPC_KAMP_CIJENA</t>
  </si>
  <si>
    <t>PRIJEDLOG_MPC_KAMP_CIJENA</t>
  </si>
  <si>
    <t>10</t>
  </si>
  <si>
    <t>SVJEŽI ODJELI</t>
  </si>
  <si>
    <t/>
  </si>
  <si>
    <t>30</t>
  </si>
  <si>
    <t>3020</t>
  </si>
  <si>
    <t>20</t>
  </si>
  <si>
    <t>2010</t>
  </si>
  <si>
    <t>201010</t>
  </si>
  <si>
    <t>v 1.02</t>
  </si>
  <si>
    <t>40</t>
  </si>
  <si>
    <t>NEPREHRANA</t>
  </si>
  <si>
    <t>4040</t>
  </si>
  <si>
    <t>NEPREHRANA 3</t>
  </si>
  <si>
    <t>C</t>
  </si>
  <si>
    <t>1030</t>
  </si>
  <si>
    <t>SVJEŽE MESO</t>
  </si>
  <si>
    <t>M</t>
  </si>
  <si>
    <t>302010</t>
  </si>
  <si>
    <t>PIVO I CIDER</t>
  </si>
  <si>
    <t>30201010</t>
  </si>
  <si>
    <t>PIVO STANDARDNO</t>
  </si>
  <si>
    <t>201040</t>
  </si>
  <si>
    <t>MLIJEKO</t>
  </si>
  <si>
    <t>20104010</t>
  </si>
  <si>
    <t>MLIJEKO TRAJNO STERILIZIRANO</t>
  </si>
  <si>
    <t>302040</t>
  </si>
  <si>
    <t>VODE</t>
  </si>
  <si>
    <t>TOP500</t>
  </si>
  <si>
    <t>302020</t>
  </si>
  <si>
    <t>30202010</t>
  </si>
  <si>
    <t>30204020</t>
  </si>
  <si>
    <t>VODE NEGAZIRANE</t>
  </si>
  <si>
    <t>3020402010</t>
  </si>
  <si>
    <t>VODE NEGAZIRANE ? 1L ? 2L</t>
  </si>
  <si>
    <t>3010</t>
  </si>
  <si>
    <t>PAKIRANA HRANA</t>
  </si>
  <si>
    <t>301010</t>
  </si>
  <si>
    <t>PRIPREMA JELA</t>
  </si>
  <si>
    <t>30101010</t>
  </si>
  <si>
    <t>ULJA</t>
  </si>
  <si>
    <t>201080</t>
  </si>
  <si>
    <t>MASLACI I MARGARINI</t>
  </si>
  <si>
    <t>20108010</t>
  </si>
  <si>
    <t>MASLAC</t>
  </si>
  <si>
    <t>2010801010</t>
  </si>
  <si>
    <t>MASLAC - ? 250G</t>
  </si>
  <si>
    <t>404030</t>
  </si>
  <si>
    <t>40403010</t>
  </si>
  <si>
    <t>4040301010</t>
  </si>
  <si>
    <t>201050</t>
  </si>
  <si>
    <t>JAJA</t>
  </si>
  <si>
    <t>JAJA SVJEŽA - KOKOŠJA 10/1</t>
  </si>
  <si>
    <t>201030</t>
  </si>
  <si>
    <t>SIREVI</t>
  </si>
  <si>
    <t>4010</t>
  </si>
  <si>
    <t>DROGERIJA</t>
  </si>
  <si>
    <t>401010</t>
  </si>
  <si>
    <t>301080</t>
  </si>
  <si>
    <t>30108010</t>
  </si>
  <si>
    <t>KAVA</t>
  </si>
  <si>
    <t>3010801010</t>
  </si>
  <si>
    <t>KAVA MLJEVENA</t>
  </si>
  <si>
    <t>10000004</t>
  </si>
  <si>
    <t>3850103000820</t>
  </si>
  <si>
    <t>3020101010</t>
  </si>
  <si>
    <t>PIVO STANDARDNO - BOCA</t>
  </si>
  <si>
    <t>KOSARICA;SEZONA</t>
  </si>
  <si>
    <t>10000005</t>
  </si>
  <si>
    <t>PIVO OŽUJSKO 0,5 L BOCA</t>
  </si>
  <si>
    <t>38501692</t>
  </si>
  <si>
    <t>10000008</t>
  </si>
  <si>
    <t>3850108020908</t>
  </si>
  <si>
    <t>2010401010</t>
  </si>
  <si>
    <t>MLIJEKO STERILIZIRANO – UHT M.M. &gt; 2% (&gt; 500ML)</t>
  </si>
  <si>
    <t>SEZONA;KOSARICA</t>
  </si>
  <si>
    <t>10000010</t>
  </si>
  <si>
    <t>VODA GAZ.1,5 L JAMNICA PET</t>
  </si>
  <si>
    <t>3859888152045</t>
  </si>
  <si>
    <t>30204010</t>
  </si>
  <si>
    <t>VODE GAZIRANE</t>
  </si>
  <si>
    <t>3020401010</t>
  </si>
  <si>
    <t>VODE GAZIRANE ?1L</t>
  </si>
  <si>
    <t>10000012</t>
  </si>
  <si>
    <t>NAPITAK GAZ.2 L COCA-COLA</t>
  </si>
  <si>
    <t>5449000000286</t>
  </si>
  <si>
    <t>3020201010</t>
  </si>
  <si>
    <t>103030</t>
  </si>
  <si>
    <t>SVJEŽE MESO PERAD PAKIRANO</t>
  </si>
  <si>
    <t>10303010</t>
  </si>
  <si>
    <t>1030301020</t>
  </si>
  <si>
    <t>10000016</t>
  </si>
  <si>
    <t>VODA NEGAZ.1,5 L JANA</t>
  </si>
  <si>
    <t>3858884600055</t>
  </si>
  <si>
    <t>10000026</t>
  </si>
  <si>
    <t>ULJE SUNCOKRET 1 L ZVIJEZDA</t>
  </si>
  <si>
    <t>3858882210010</t>
  </si>
  <si>
    <t>3010101010</t>
  </si>
  <si>
    <t>ULJE SUNCOKRETA</t>
  </si>
  <si>
    <t>MLIJEKO TRAJNO 2,8% 1 L DUKAT</t>
  </si>
  <si>
    <t>10000028</t>
  </si>
  <si>
    <t>PANCETA TOMMY DELICATO</t>
  </si>
  <si>
    <t>293148</t>
  </si>
  <si>
    <t>20101030</t>
  </si>
  <si>
    <t>2010103010</t>
  </si>
  <si>
    <t>SUŠENI TRAJNI MESNI PROIZVODI KOMADNI</t>
  </si>
  <si>
    <t>10000033</t>
  </si>
  <si>
    <t>PILE GRILL NA PODLOŠKU</t>
  </si>
  <si>
    <t>2105601</t>
  </si>
  <si>
    <t>1030301010</t>
  </si>
  <si>
    <t>KOSARICA</t>
  </si>
  <si>
    <t>10000035</t>
  </si>
  <si>
    <t>MASLAC 250 g DUKAT</t>
  </si>
  <si>
    <t>3850355000999</t>
  </si>
  <si>
    <t>10000042</t>
  </si>
  <si>
    <t>VODA GAZ.1 L JAMNICA</t>
  </si>
  <si>
    <t>3859888152014</t>
  </si>
  <si>
    <t>10000044</t>
  </si>
  <si>
    <t>3858886938149</t>
  </si>
  <si>
    <t>20103020</t>
  </si>
  <si>
    <t>SIREVI TVRDI I POLUTVRDI DELIKATESA</t>
  </si>
  <si>
    <t>2010302010</t>
  </si>
  <si>
    <t>SIREVI POLUTVRDI DELIKATESA - GOUDA</t>
  </si>
  <si>
    <t>10000049</t>
  </si>
  <si>
    <t>SIR GOUDA 48%MM PALADIN</t>
  </si>
  <si>
    <t>290242</t>
  </si>
  <si>
    <t>10000054</t>
  </si>
  <si>
    <t>PIVO HEINEKEN 0,40 L BOCA</t>
  </si>
  <si>
    <t>5998818171249</t>
  </si>
  <si>
    <t>40101030</t>
  </si>
  <si>
    <t>4010103010</t>
  </si>
  <si>
    <t>10000069</t>
  </si>
  <si>
    <t>ŠUNKA U OVITKU PIK</t>
  </si>
  <si>
    <t>290216</t>
  </si>
  <si>
    <t>20101010</t>
  </si>
  <si>
    <t>SALAME POLUTRAJNE DELIKATESA</t>
  </si>
  <si>
    <t>2010101010</t>
  </si>
  <si>
    <t>SALAME POLUTRAJNE ŠUNKA</t>
  </si>
  <si>
    <t>10000001</t>
  </si>
  <si>
    <t>BANANA</t>
  </si>
  <si>
    <t>290318</t>
  </si>
  <si>
    <t>1010</t>
  </si>
  <si>
    <t>101010</t>
  </si>
  <si>
    <t>10101010</t>
  </si>
  <si>
    <t>1010101010</t>
  </si>
  <si>
    <t>BANANE</t>
  </si>
  <si>
    <t>VIP</t>
  </si>
  <si>
    <t>10000002</t>
  </si>
  <si>
    <t>MARLBORO GOLD 10/1</t>
  </si>
  <si>
    <t>3859891302727</t>
  </si>
  <si>
    <t>404010</t>
  </si>
  <si>
    <t>KIOSK</t>
  </si>
  <si>
    <t>40401020</t>
  </si>
  <si>
    <t>DUHANSKI PROIZVODI</t>
  </si>
  <si>
    <t>4040102010</t>
  </si>
  <si>
    <t>CIGARETE</t>
  </si>
  <si>
    <t>MARLBORO GOLD</t>
  </si>
  <si>
    <t>3859891302710</t>
  </si>
  <si>
    <t>10000003</t>
  </si>
  <si>
    <t>291180</t>
  </si>
  <si>
    <t>103010</t>
  </si>
  <si>
    <t>SVJEŽE MESO MESNICA</t>
  </si>
  <si>
    <t>10301010</t>
  </si>
  <si>
    <t>1030101010</t>
  </si>
  <si>
    <t>10000006</t>
  </si>
  <si>
    <t>293209</t>
  </si>
  <si>
    <t>10301020</t>
  </si>
  <si>
    <t>1030102020</t>
  </si>
  <si>
    <t>10000007</t>
  </si>
  <si>
    <t>MARLBORO RED 10/1</t>
  </si>
  <si>
    <t>3859891302901</t>
  </si>
  <si>
    <t>MARLBORO RED</t>
  </si>
  <si>
    <t>3859891302895</t>
  </si>
  <si>
    <t>10000009</t>
  </si>
  <si>
    <t>LUBENICA</t>
  </si>
  <si>
    <t>290610</t>
  </si>
  <si>
    <t>1010101074</t>
  </si>
  <si>
    <t>10000011</t>
  </si>
  <si>
    <t>293217</t>
  </si>
  <si>
    <t>10000013</t>
  </si>
  <si>
    <t>2105611</t>
  </si>
  <si>
    <t>10000014</t>
  </si>
  <si>
    <t>293210</t>
  </si>
  <si>
    <t>10000015</t>
  </si>
  <si>
    <t>SVINJSKI VRAT SK</t>
  </si>
  <si>
    <t>291194</t>
  </si>
  <si>
    <t>10301030</t>
  </si>
  <si>
    <t xml:space="preserve">MESO SVINJSKO SVJEŽE </t>
  </si>
  <si>
    <t>1030103030</t>
  </si>
  <si>
    <t>10000017</t>
  </si>
  <si>
    <t>ROTHMANS 100's BLUE</t>
  </si>
  <si>
    <t>38505683</t>
  </si>
  <si>
    <t>ROTHMANS 100's BLUE 10/1</t>
  </si>
  <si>
    <t>3856008803689</t>
  </si>
  <si>
    <t>10000018</t>
  </si>
  <si>
    <t>293316</t>
  </si>
  <si>
    <t>101020</t>
  </si>
  <si>
    <t>10102010</t>
  </si>
  <si>
    <t>1010201032</t>
  </si>
  <si>
    <t>10000019</t>
  </si>
  <si>
    <t>MARLBORO FINE TOUCH</t>
  </si>
  <si>
    <t>3859892336257</t>
  </si>
  <si>
    <t>MARLBORO FINE TOUCH 10/1</t>
  </si>
  <si>
    <t>3859892336264</t>
  </si>
  <si>
    <t>10000020</t>
  </si>
  <si>
    <t>291190</t>
  </si>
  <si>
    <t>10301055</t>
  </si>
  <si>
    <t>PROIZVODI I MJEŠAVINE OD MLJEVENOG MESA</t>
  </si>
  <si>
    <t>1030105555</t>
  </si>
  <si>
    <t>10000021</t>
  </si>
  <si>
    <t>291184</t>
  </si>
  <si>
    <t>10000022</t>
  </si>
  <si>
    <t>MLJEVENO MIJEŠANO MESO</t>
  </si>
  <si>
    <t>291178</t>
  </si>
  <si>
    <t>10301060</t>
  </si>
  <si>
    <t>MESO SVJEŽE MLJEVENO</t>
  </si>
  <si>
    <t>1030106060</t>
  </si>
  <si>
    <t>10000023</t>
  </si>
  <si>
    <t>291182</t>
  </si>
  <si>
    <t>10000024</t>
  </si>
  <si>
    <t>291186</t>
  </si>
  <si>
    <t>10000025</t>
  </si>
  <si>
    <t>DUNHILL MASTER BLEND BLUE 10/1</t>
  </si>
  <si>
    <t>3856008851253</t>
  </si>
  <si>
    <t xml:space="preserve">DUNHILL MASTER BLEND BLUE  </t>
  </si>
  <si>
    <t>38505935</t>
  </si>
  <si>
    <t>10000027</t>
  </si>
  <si>
    <t>3850354002413</t>
  </si>
  <si>
    <t>10000029</t>
  </si>
  <si>
    <t>290322</t>
  </si>
  <si>
    <t>1010101025</t>
  </si>
  <si>
    <t>10000030</t>
  </si>
  <si>
    <t>CHESTERFIELD TUNED AQUA</t>
  </si>
  <si>
    <t>3859892336707</t>
  </si>
  <si>
    <t>CHESTERFIELD TUNED AQUA 10/1</t>
  </si>
  <si>
    <t>3859892336738</t>
  </si>
  <si>
    <t>10000031</t>
  </si>
  <si>
    <t>5900495753243</t>
  </si>
  <si>
    <t>4030</t>
  </si>
  <si>
    <t>NEPREHRANA 2</t>
  </si>
  <si>
    <t>403070</t>
  </si>
  <si>
    <t>TEHNIKA</t>
  </si>
  <si>
    <t>40307030</t>
  </si>
  <si>
    <t>AUDIO I VIDEO OPREMA</t>
  </si>
  <si>
    <t>4030703030</t>
  </si>
  <si>
    <t>10000032</t>
  </si>
  <si>
    <t>3850103002312</t>
  </si>
  <si>
    <t>3020101020</t>
  </si>
  <si>
    <t>PIVO STANDARDNO - LIMENKA</t>
  </si>
  <si>
    <t>IMPULS</t>
  </si>
  <si>
    <t>10000034</t>
  </si>
  <si>
    <t>PIVO OŽUJSKO 6 X 0,5 L LIM.</t>
  </si>
  <si>
    <t>3850131005682</t>
  </si>
  <si>
    <t>10000036</t>
  </si>
  <si>
    <t>MLIJEKO TRAJNO 2,8% 1 L MARINE</t>
  </si>
  <si>
    <t>3858886933069</t>
  </si>
  <si>
    <t>10000037</t>
  </si>
  <si>
    <t>JABUKA JONAGORED</t>
  </si>
  <si>
    <t>290766</t>
  </si>
  <si>
    <t>1010101015</t>
  </si>
  <si>
    <t>JABUKA</t>
  </si>
  <si>
    <t>10000038</t>
  </si>
  <si>
    <t>MARLBORO TOUCH 10/1</t>
  </si>
  <si>
    <t>3859892336240</t>
  </si>
  <si>
    <t>MARLBORO TOUCH</t>
  </si>
  <si>
    <t>3859892336233</t>
  </si>
  <si>
    <t>10000039</t>
  </si>
  <si>
    <t>ULJE SUNCOKRET 1 L MARINERO</t>
  </si>
  <si>
    <t>3858886934042</t>
  </si>
  <si>
    <t>10000040</t>
  </si>
  <si>
    <t>PIVO HEINEKEN 4X0,4 L LIMENKA</t>
  </si>
  <si>
    <t>5998818171737</t>
  </si>
  <si>
    <t>10000041</t>
  </si>
  <si>
    <t>10301045</t>
  </si>
  <si>
    <t>1030104545</t>
  </si>
  <si>
    <t>10000043</t>
  </si>
  <si>
    <t>SVINJSKI BUT BK</t>
  </si>
  <si>
    <t>291193</t>
  </si>
  <si>
    <t>10000045</t>
  </si>
  <si>
    <t>JAJA M RAZRED 10/1 MARINERO</t>
  </si>
  <si>
    <t>3858886930884</t>
  </si>
  <si>
    <t>20105010</t>
  </si>
  <si>
    <t>JAJA IZ SLOBODNOG UZGOJA</t>
  </si>
  <si>
    <t>2010501010</t>
  </si>
  <si>
    <t>10000046</t>
  </si>
  <si>
    <t>CHESTERFIELD BLUE 100 RCB 20</t>
  </si>
  <si>
    <t>3859892336370</t>
  </si>
  <si>
    <t>CHESTERFIELD BLUE 100 RCB 20 10/1</t>
  </si>
  <si>
    <t>3859892336387</t>
  </si>
  <si>
    <t>10000047</t>
  </si>
  <si>
    <t>291181</t>
  </si>
  <si>
    <t>10000048</t>
  </si>
  <si>
    <t>SIR GOUDA CCA 3 kg</t>
  </si>
  <si>
    <t>292627</t>
  </si>
  <si>
    <t>10000050</t>
  </si>
  <si>
    <t>WALTER WOLF WHITE ICON</t>
  </si>
  <si>
    <t>38503078</t>
  </si>
  <si>
    <t>WALTER WOLF WHITE ICON 10/1</t>
  </si>
  <si>
    <t>3856008800077</t>
  </si>
  <si>
    <t>10000051</t>
  </si>
  <si>
    <t>LIMUN</t>
  </si>
  <si>
    <t>290319</t>
  </si>
  <si>
    <t>1010101030</t>
  </si>
  <si>
    <t>10000052</t>
  </si>
  <si>
    <t>ULJE SUNCOKRET 1,2 L ZVIJEZDA</t>
  </si>
  <si>
    <t>3856015313249</t>
  </si>
  <si>
    <t>10000053</t>
  </si>
  <si>
    <t>2105621</t>
  </si>
  <si>
    <t>10000055</t>
  </si>
  <si>
    <t>SIR TVRDI DALMATO DELICATO</t>
  </si>
  <si>
    <t>292364</t>
  </si>
  <si>
    <t>2010302060</t>
  </si>
  <si>
    <t>SIREVI TVRDI DELIKATESA - KRAVLJI</t>
  </si>
  <si>
    <t>10000056</t>
  </si>
  <si>
    <t>KRUMPIR MLADI</t>
  </si>
  <si>
    <t>290282</t>
  </si>
  <si>
    <t>1010201010</t>
  </si>
  <si>
    <t>KRUMPIR RINFUZO</t>
  </si>
  <si>
    <t>10000057</t>
  </si>
  <si>
    <t>PIVO OŽUJSKO 0,5 L LIM.</t>
  </si>
  <si>
    <t>3850131400609</t>
  </si>
  <si>
    <t>10000058</t>
  </si>
  <si>
    <t>PIVO HEINEKEN 0,5 L LIM.</t>
  </si>
  <si>
    <t>3830001714692</t>
  </si>
  <si>
    <t>10000059</t>
  </si>
  <si>
    <t>KRASTAVCI</t>
  </si>
  <si>
    <t>292208</t>
  </si>
  <si>
    <t>1010201040</t>
  </si>
  <si>
    <t>10000060</t>
  </si>
  <si>
    <t>MR PROPER UNIVER. SPREJ 750 ml</t>
  </si>
  <si>
    <t>8001841517759</t>
  </si>
  <si>
    <t>10000061</t>
  </si>
  <si>
    <t>PAPRIKA SVJ.</t>
  </si>
  <si>
    <t>292361</t>
  </si>
  <si>
    <t>1010201042</t>
  </si>
  <si>
    <t>PAPRIKE</t>
  </si>
  <si>
    <t>10000062</t>
  </si>
  <si>
    <t>SALATA KRISTALKA SVJ. KOM</t>
  </si>
  <si>
    <t>887</t>
  </si>
  <si>
    <t>1010201054</t>
  </si>
  <si>
    <t>SALATE SVJEŽE</t>
  </si>
  <si>
    <t>10000063</t>
  </si>
  <si>
    <t>CARSKO MESO</t>
  </si>
  <si>
    <t>291198</t>
  </si>
  <si>
    <t>10000064</t>
  </si>
  <si>
    <t>SIR IBERICO DELICATO</t>
  </si>
  <si>
    <t>291077</t>
  </si>
  <si>
    <t>2010302090</t>
  </si>
  <si>
    <t>SIREVI  TVRDI DELIKATESA - OSTALI</t>
  </si>
  <si>
    <t>10000065</t>
  </si>
  <si>
    <t>ROTHMANS S-SERIES  SILVER</t>
  </si>
  <si>
    <t>38505720</t>
  </si>
  <si>
    <t>ROTHMANS S-SERIES SILVER 8/1</t>
  </si>
  <si>
    <t>3856008803726</t>
  </si>
  <si>
    <t>10000066</t>
  </si>
  <si>
    <t>JAJA L RAZRED 10/1 MARINERO</t>
  </si>
  <si>
    <t>3858886930877</t>
  </si>
  <si>
    <t>10000067</t>
  </si>
  <si>
    <t>293723</t>
  </si>
  <si>
    <t>10000068</t>
  </si>
  <si>
    <t>ROTHMANS KING SIZE  BLUE</t>
  </si>
  <si>
    <t>38505652</t>
  </si>
  <si>
    <t>ROTHMANS KING SIZE BLUE 10/1</t>
  </si>
  <si>
    <t>3856008803658</t>
  </si>
  <si>
    <t>10000070</t>
  </si>
  <si>
    <t>BRESKVA</t>
  </si>
  <si>
    <t>290461</t>
  </si>
  <si>
    <t>1010101065</t>
  </si>
  <si>
    <t>10000071</t>
  </si>
  <si>
    <t>BADEM I KAT.RFS</t>
  </si>
  <si>
    <t>290350</t>
  </si>
  <si>
    <t>10101020</t>
  </si>
  <si>
    <t>1010102010</t>
  </si>
  <si>
    <t>10000072</t>
  </si>
  <si>
    <t>291310</t>
  </si>
  <si>
    <t>10000073</t>
  </si>
  <si>
    <t>KAPULA ŽUTA (CRV.LUK)</t>
  </si>
  <si>
    <t>291393</t>
  </si>
  <si>
    <t>1010201024</t>
  </si>
  <si>
    <t>CRVENI LUK</t>
  </si>
  <si>
    <t>10000074</t>
  </si>
  <si>
    <t>WINSTON XSTYLE SILVER</t>
  </si>
  <si>
    <t>46103291</t>
  </si>
  <si>
    <t>WINSTON XSTYLE SILVER 10/1</t>
  </si>
  <si>
    <t>4600439917427</t>
  </si>
  <si>
    <t>10000075</t>
  </si>
  <si>
    <t>KAVA JUBILARNA MLJ. 400 g FRAN</t>
  </si>
  <si>
    <t>3858881085596</t>
  </si>
  <si>
    <t>10000076</t>
  </si>
  <si>
    <t>MARLBORO GOLD 100</t>
  </si>
  <si>
    <t>3859891302734</t>
  </si>
  <si>
    <t>MARLBORO GOLD 100 10/1</t>
  </si>
  <si>
    <t>3859891302741</t>
  </si>
  <si>
    <t>10000077</t>
  </si>
  <si>
    <t>291265</t>
  </si>
  <si>
    <t>1010101078</t>
  </si>
  <si>
    <t>10000078</t>
  </si>
  <si>
    <t>3850103002442</t>
  </si>
  <si>
    <t>10000079</t>
  </si>
  <si>
    <t>3850171710010</t>
  </si>
  <si>
    <t>10000080</t>
  </si>
  <si>
    <t xml:space="preserve">LUCKY STRIKE ORIGINAL   </t>
  </si>
  <si>
    <t>38506000</t>
  </si>
  <si>
    <t>VOĆE I POVRĆE</t>
  </si>
  <si>
    <t>VOĆE</t>
  </si>
  <si>
    <t>VOĆE SVJEŽE</t>
  </si>
  <si>
    <t>2024-08-14</t>
  </si>
  <si>
    <t>JUNEĆI BUT BK</t>
  </si>
  <si>
    <t>MESO JUNEĆE SVJEŽE</t>
  </si>
  <si>
    <t>PIVO KARLOVAČKO 0,5 L BOCA</t>
  </si>
  <si>
    <t>PAKIRANA HRANA I PIĆE</t>
  </si>
  <si>
    <t>PIĆE</t>
  </si>
  <si>
    <t>TELEĆA PRSA  I REBRA MLIJ.</t>
  </si>
  <si>
    <t>MESO TELEĆE SVJEŽE</t>
  </si>
  <si>
    <t>MLIJEKO TRAJNO 2,8% 1 L ČEP TE</t>
  </si>
  <si>
    <t>HLAĐENO I SMRZNUTO</t>
  </si>
  <si>
    <t>HLAĐENI PROGRAM</t>
  </si>
  <si>
    <t>TELEĆA LOPATICA SK MLIJ.</t>
  </si>
  <si>
    <t>BEZALKOHOLNA PIĆA</t>
  </si>
  <si>
    <t>GAZIRANA BEZALKOHOLNA PIĆA</t>
  </si>
  <si>
    <t>GAZIRANA BEZALKOHOLNA PIĆA PET &gt; 1,5</t>
  </si>
  <si>
    <t>PILEĆI FILE OD PRSIJU NA PODL.</t>
  </si>
  <si>
    <t>MESO PILEĆE PAKIRANO</t>
  </si>
  <si>
    <t>MESO PILEĆI FILE</t>
  </si>
  <si>
    <t>TELEĆI VRAT SK MLIJ.</t>
  </si>
  <si>
    <t>RAJČICA GRAPPOLO</t>
  </si>
  <si>
    <t>POVRĆE</t>
  </si>
  <si>
    <t>POVRĆE SVJEŽE</t>
  </si>
  <si>
    <t>RAJČICE SVJEŽE</t>
  </si>
  <si>
    <t>ĆEVAPČIĆI</t>
  </si>
  <si>
    <t>JUNEĆA REBRA-FLAM</t>
  </si>
  <si>
    <t>JUNEĆA LOPATICA BK</t>
  </si>
  <si>
    <t>JUNEĆI VRAT SK</t>
  </si>
  <si>
    <t>MESNE PRERAĐEVINE</t>
  </si>
  <si>
    <t>MESNE PRERAĐEVINE PAKIRANO/KOMADNO</t>
  </si>
  <si>
    <t>NARANČA</t>
  </si>
  <si>
    <t xml:space="preserve">KABEL USB S USB-C PRIKLJUČKOM </t>
  </si>
  <si>
    <t>PIVO KARLOVAČKO 0,5 L LIM.</t>
  </si>
  <si>
    <t>IMPULS;TOP500</t>
  </si>
  <si>
    <t>MESO PILEĆE U KOMADU</t>
  </si>
  <si>
    <t>JANJETINA SJEČENA BEZ GLAVE</t>
  </si>
  <si>
    <t>MESO JANJEĆE SVJEŽE</t>
  </si>
  <si>
    <t>VREĆICA TREGER 320X600 500/1</t>
  </si>
  <si>
    <t>POTROŠAČKE VREĆICE I KUTIJE</t>
  </si>
  <si>
    <t>POTROŠAĆKE VREĆICE</t>
  </si>
  <si>
    <t>JUNEĆA LEĐA SK</t>
  </si>
  <si>
    <t>PILEĆI FILE OD PRSIJU OBI.PAK.</t>
  </si>
  <si>
    <t>SREDSTVA ZA PRANJE I ČIŠĆENJE</t>
  </si>
  <si>
    <t>SREDSTVA ZA ČIŠĆENJE</t>
  </si>
  <si>
    <t>SREDSTVA ZA ČIŠĆENJE UNIVERZALNA</t>
  </si>
  <si>
    <t>SVINJSKA LEĐA BK</t>
  </si>
  <si>
    <t>VOĆE ORAŠASTO I SUŠENO RINF.</t>
  </si>
  <si>
    <t>SUHO I SUŠENO VOĆE  - BADEM</t>
  </si>
  <si>
    <t>RAJČICA BEEF</t>
  </si>
  <si>
    <t>DORUČAK</t>
  </si>
  <si>
    <t>STOLNO GROŽĐE BIJELO</t>
  </si>
  <si>
    <t>GROŽĐE</t>
  </si>
  <si>
    <t>PIVO KARLOVAČKO 6x0,4 L LIMENK</t>
  </si>
  <si>
    <t>ULJE SUNCOKRET TENA 1 L ČEPIN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</si>
</sst>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21">
    <xf numFmtId="0" fontId="0" fillId="0" borderId="0" xfId="0"/>
    <xf numFmtId="49" fontId="0" fillId="0" borderId="0" xfId="0" applyNumberFormat="1"/>
    <xf numFmtId="49" fontId="2" fillId="2" borderId="0" xfId="0" applyNumberFormat="1" applyFont="1" applyFill="1" applyAlignment="1">
      <alignment horizontal="center"/>
    </xf>
    <xf numFmtId="49" fontId="4" fillId="4" borderId="0" xfId="0" applyNumberFormat="1" applyFont="1" applyFill="1" applyAlignment="1">
      <alignment horizontal="center"/>
    </xf>
    <xf numFmtId="49" fontId="2" fillId="2" borderId="0" xfId="0" applyNumberFormat="1" applyFont="1" applyFill="1"/>
    <xf numFmtId="49" fontId="2" fillId="2" borderId="0" xfId="0" applyNumberFormat="1" applyFont="1" applyFill="1" applyAlignment="1">
      <alignment horizontal="left" indent="1"/>
    </xf>
    <xf numFmtId="49" fontId="5" fillId="2" borderId="0" xfId="0" applyNumberFormat="1" applyFont="1" applyFill="1" applyAlignment="1">
      <alignment horizontal="left" indent="1"/>
    </xf>
    <xf numFmtId="49" fontId="4" fillId="4" borderId="0" xfId="0" applyNumberFormat="1" applyFont="1" applyFill="1"/>
    <xf numFmtId="49" fontId="4" fillId="4" borderId="0" xfId="0" applyNumberFormat="1" applyFont="1" applyFill="1" applyAlignment="1">
      <alignment horizontal="left" indent="1"/>
    </xf>
    <xf numFmtId="49" fontId="6" fillId="3" borderId="0" xfId="0" applyNumberFormat="1" applyFont="1" applyFill="1" applyAlignment="1">
      <alignment horizontal="left"/>
    </xf>
    <xf numFmtId="49" fontId="6" fillId="3" borderId="0" xfId="2" applyNumberFormat="1" applyFont="1" applyFill="1" applyAlignment="1">
      <alignment horizontal="left"/>
    </xf>
    <xf numFmtId="164" fontId="2" fillId="2" borderId="0" xfId="0" applyNumberFormat="1" applyFont="1" applyFill="1"/>
    <xf numFmtId="164" fontId="4" fillId="4" borderId="0" xfId="0" applyNumberFormat="1" applyFont="1" applyFill="1"/>
    <xf numFmtId="164" fontId="6" fillId="3" borderId="0" xfId="0" applyNumberFormat="1" applyFont="1" applyFill="1" applyAlignment="1">
      <alignment horizontal="left"/>
    </xf>
    <xf numFmtId="164" fontId="0" fillId="0" borderId="0" xfId="0" applyNumberFormat="1"/>
    <xf numFmtId="164" fontId="6" fillId="3" borderId="0" xfId="2" applyNumberFormat="1" applyFont="1" applyFill="1" applyAlignment="1">
      <alignment horizontal="left"/>
    </xf>
    <xf numFmtId="4" fontId="2" fillId="2" borderId="0" xfId="0" applyNumberFormat="1" applyFont="1" applyFill="1"/>
    <xf numFmtId="4" fontId="4" fillId="4" borderId="0" xfId="0" applyNumberFormat="1" applyFont="1" applyFill="1"/>
    <xf numFmtId="4" fontId="6" fillId="3" borderId="0" xfId="0" applyNumberFormat="1" applyFont="1" applyFill="1" applyAlignment="1">
      <alignment horizontal="left"/>
    </xf>
    <xf numFmtId="4" fontId="0" fillId="6" borderId="0" xfId="0" applyNumberFormat="1" applyFill="1"/>
    <xf numFmtId="4" fontId="0" fillId="5" borderId="0" xfId="0" applyNumberFormat="1" applyFill="1"/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73025</xdr:colOff>
      <xdr:row>0</xdr:row>
      <xdr:rowOff>53976</xdr:rowOff>
    </xdr:from>
    <xdr:to>
      <xdr:col>1</xdr:col>
      <xdr:colOff>504825</xdr:colOff>
      <xdr:row>1</xdr:row>
      <xdr:rowOff>154580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" y="53976"/>
          <a:ext cx="1174750" cy="2911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47625</xdr:rowOff>
        </xdr:from>
        <xdr:to>
          <xdr:col>3</xdr:col>
          <xdr:colOff>1847850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OSVJEŽI PODATKE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1905000</xdr:colOff>
          <xdr:row>0</xdr:row>
          <xdr:rowOff>38100</xdr:rowOff>
        </xdr:from>
        <xdr:to>
          <xdr:col>4</xdr:col>
          <xdr:colOff>76200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POSTAVI FORMULE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69FBA-32E8-4DB1-AAA2-55FF99228026}">
  <sheetPr codeName="Sheet1"/>
  <dimension ref="A1:AQ100"/>
  <sheetViews>
    <sheetView tabSelected="1" zoomScale="85" zoomScaleNormal="85" workbookViewId="0">
      <pane xSplit="5" ySplit="4" topLeftCell="F47" activePane="bottomRight" state="frozen"/>
      <selection pane="topRight" activeCell="F1" sqref="F1"/>
      <selection pane="bottomLeft" activeCell="A5" sqref="A5"/>
      <selection pane="bottomRight" activeCell="A4" sqref="A4"/>
    </sheetView>
  </sheetViews>
  <sheetFormatPr defaultColWidth="8.7109375" defaultRowHeight="15" x14ac:dyDescent="0.25"/>
  <cols>
    <col min="1" max="1" width="11.140625" style="1" customWidth="1"/>
    <col min="2" max="2" width="7.85546875" style="1" bestFit="1" customWidth="1"/>
    <col min="3" max="3" width="7.7109375" style="1" customWidth="1"/>
    <col min="4" max="4" width="54.42578125" style="1" bestFit="1" customWidth="1"/>
    <col min="5" max="5" width="14.140625" style="1" bestFit="1" customWidth="1"/>
    <col min="6" max="6" width="10" style="1" bestFit="1" customWidth="1"/>
    <col min="7" max="7" width="22.85546875" style="1" bestFit="1" customWidth="1"/>
    <col min="8" max="8" width="10" style="1" bestFit="1" customWidth="1"/>
    <col min="9" max="9" width="24" style="1" bestFit="1" customWidth="1"/>
    <col min="10" max="10" width="10" style="1" bestFit="1" customWidth="1"/>
    <col min="11" max="11" width="44.28515625" style="1" bestFit="1" customWidth="1"/>
    <col min="12" max="12" width="10" style="1" bestFit="1" customWidth="1"/>
    <col min="13" max="13" width="51" style="1" bestFit="1" customWidth="1"/>
    <col min="14" max="14" width="10.85546875" style="1" bestFit="1" customWidth="1"/>
    <col min="15" max="15" width="51.85546875" style="1" bestFit="1" customWidth="1"/>
    <col min="16" max="16" width="10.5703125" style="1" bestFit="1" customWidth="1"/>
    <col min="17" max="17" width="7.5703125" style="1" bestFit="1" customWidth="1"/>
    <col min="18" max="18" width="18" style="1" bestFit="1" customWidth="1"/>
    <col min="19" max="19" width="19.140625" style="19" bestFit="1" customWidth="1"/>
    <col min="20" max="20" width="15.7109375" style="1" bestFit="1" customWidth="1"/>
    <col min="21" max="21" width="16.42578125" style="14" bestFit="1" customWidth="1"/>
    <col min="22" max="22" width="28" style="20" bestFit="1" customWidth="1"/>
    <col min="23" max="23" width="15.42578125" style="1" bestFit="1" customWidth="1"/>
    <col min="24" max="24" width="16.140625" style="14" bestFit="1" customWidth="1"/>
    <col min="25" max="25" width="27.5703125" style="20" bestFit="1" customWidth="1"/>
    <col min="26" max="26" width="16.42578125" style="1" bestFit="1" customWidth="1"/>
    <col min="27" max="27" width="17" style="14" bestFit="1" customWidth="1"/>
    <col min="28" max="28" width="27.5703125" style="20" bestFit="1" customWidth="1"/>
    <col min="29" max="29" width="15.85546875" style="1" bestFit="1" customWidth="1"/>
    <col min="30" max="30" width="17" style="14" bestFit="1" customWidth="1"/>
    <col min="31" max="31" width="27.5703125" style="20" bestFit="1" customWidth="1"/>
    <col min="32" max="32" width="16.42578125" style="1" bestFit="1" customWidth="1"/>
    <col min="33" max="33" width="17" style="14" bestFit="1" customWidth="1"/>
    <col min="34" max="34" width="27.5703125" style="20" bestFit="1" customWidth="1"/>
    <col min="35" max="35" width="19.140625" style="1" bestFit="1" customWidth="1"/>
    <col min="36" max="36" width="20.42578125" style="14" bestFit="1" customWidth="1"/>
    <col min="37" max="37" width="32.28515625" style="20" bestFit="1" customWidth="1"/>
    <col min="38" max="38" width="19.140625" style="1" bestFit="1" customWidth="1"/>
    <col min="39" max="39" width="20.42578125" style="14" bestFit="1" customWidth="1"/>
    <col min="40" max="40" width="32.28515625" style="20" bestFit="1" customWidth="1"/>
    <col min="41" max="41" width="19.140625" style="1" bestFit="1" customWidth="1"/>
    <col min="42" max="42" width="20.42578125" style="14" bestFit="1" customWidth="1"/>
    <col min="43" max="43" width="32.28515625" style="20" bestFit="1" customWidth="1"/>
    <col min="44" max="16384" width="8.7109375" style="1"/>
  </cols>
  <sheetData>
    <row r="1" spans="1:43" s="4" customFormat="1" x14ac:dyDescent="0.25">
      <c r="C1" s="5"/>
      <c r="H1" s="2"/>
      <c r="S1" s="16"/>
      <c r="U1" s="11"/>
      <c r="V1" s="16"/>
      <c r="X1" s="11"/>
      <c r="Y1" s="16"/>
      <c r="AA1" s="11"/>
      <c r="AB1" s="16"/>
      <c r="AD1" s="11"/>
      <c r="AE1" s="16"/>
      <c r="AG1" s="11"/>
      <c r="AH1" s="16"/>
      <c r="AJ1" s="11"/>
      <c r="AK1" s="16"/>
      <c r="AM1" s="11"/>
      <c r="AN1" s="16"/>
      <c r="AP1" s="11"/>
      <c r="AQ1" s="16"/>
    </row>
    <row r="2" spans="1:43" s="4" customFormat="1" x14ac:dyDescent="0.25">
      <c r="C2" s="6" t="s">
        <v>52</v>
      </c>
      <c r="H2" s="2"/>
      <c r="S2" s="16"/>
      <c r="U2" s="11"/>
      <c r="V2" s="16"/>
      <c r="X2" s="11"/>
      <c r="Y2" s="16"/>
      <c r="AA2" s="11"/>
      <c r="AB2" s="16"/>
      <c r="AD2" s="11"/>
      <c r="AE2" s="16"/>
      <c r="AG2" s="11"/>
      <c r="AH2" s="16"/>
      <c r="AJ2" s="11"/>
      <c r="AK2" s="16"/>
      <c r="AM2" s="11"/>
      <c r="AN2" s="16"/>
      <c r="AP2" s="11"/>
      <c r="AQ2" s="16"/>
    </row>
    <row r="3" spans="1:43" s="7" customFormat="1" x14ac:dyDescent="0.25">
      <c r="A3" s="7" t="s">
        <v>0</v>
      </c>
      <c r="C3" s="8"/>
      <c r="H3" s="3"/>
      <c r="S3" s="17"/>
      <c r="U3" s="12"/>
      <c r="V3" s="17"/>
      <c r="X3" s="12"/>
      <c r="Y3" s="17"/>
      <c r="AA3" s="12"/>
      <c r="AB3" s="17"/>
      <c r="AD3" s="12"/>
      <c r="AE3" s="17"/>
      <c r="AG3" s="12"/>
      <c r="AH3" s="17"/>
      <c r="AJ3" s="12"/>
      <c r="AK3" s="17"/>
      <c r="AM3" s="12"/>
      <c r="AN3" s="17"/>
      <c r="AP3" s="12"/>
      <c r="AQ3" s="17"/>
    </row>
    <row r="4" spans="1:43" s="9" customFormat="1" ht="33" customHeight="1" x14ac:dyDescent="0.25">
      <c r="A4" s="9" t="s">
        <v>1</v>
      </c>
      <c r="B4" s="9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9" t="s">
        <v>10</v>
      </c>
      <c r="K4" s="9" t="s">
        <v>11</v>
      </c>
      <c r="L4" s="9" t="s">
        <v>12</v>
      </c>
      <c r="M4" s="9" t="s">
        <v>13</v>
      </c>
      <c r="N4" s="9" t="s">
        <v>14</v>
      </c>
      <c r="O4" s="9" t="s">
        <v>15</v>
      </c>
      <c r="P4" s="9" t="s">
        <v>16</v>
      </c>
      <c r="Q4" s="9" t="s">
        <v>17</v>
      </c>
      <c r="R4" s="9" t="s">
        <v>18</v>
      </c>
      <c r="S4" s="18" t="s">
        <v>19</v>
      </c>
      <c r="T4" s="9" t="s">
        <v>20</v>
      </c>
      <c r="U4" s="13" t="s">
        <v>21</v>
      </c>
      <c r="V4" s="18" t="s">
        <v>22</v>
      </c>
      <c r="W4" s="9" t="s">
        <v>23</v>
      </c>
      <c r="X4" s="13" t="s">
        <v>24</v>
      </c>
      <c r="Y4" s="18" t="s">
        <v>25</v>
      </c>
      <c r="Z4" s="9" t="s">
        <v>26</v>
      </c>
      <c r="AA4" s="13" t="s">
        <v>27</v>
      </c>
      <c r="AB4" s="18" t="s">
        <v>28</v>
      </c>
      <c r="AC4" s="10" t="s">
        <v>29</v>
      </c>
      <c r="AD4" s="13" t="s">
        <v>30</v>
      </c>
      <c r="AE4" s="18" t="s">
        <v>31</v>
      </c>
      <c r="AF4" s="9" t="s">
        <v>32</v>
      </c>
      <c r="AG4" s="15" t="s">
        <v>33</v>
      </c>
      <c r="AH4" s="18" t="s">
        <v>34</v>
      </c>
      <c r="AI4" s="9" t="s">
        <v>35</v>
      </c>
      <c r="AJ4" s="13" t="s">
        <v>36</v>
      </c>
      <c r="AK4" s="18" t="s">
        <v>37</v>
      </c>
      <c r="AL4" s="9" t="s">
        <v>38</v>
      </c>
      <c r="AM4" s="13" t="s">
        <v>39</v>
      </c>
      <c r="AN4" s="18" t="s">
        <v>40</v>
      </c>
      <c r="AO4" s="9" t="s">
        <v>41</v>
      </c>
      <c r="AP4" s="13" t="s">
        <v>42</v>
      </c>
      <c r="AQ4" s="18" t="s">
        <v>43</v>
      </c>
    </row>
    <row r="5" spans="1:43" x14ac:dyDescent="0.25">
      <c r="A5" s="1" t="s">
        <v>181</v>
      </c>
      <c r="B5" s="1">
        <v>1</v>
      </c>
      <c r="C5" s="1">
        <v>506400</v>
      </c>
      <c r="D5" s="1" t="s">
        <v>182</v>
      </c>
      <c r="E5" s="1" t="s">
        <v>183</v>
      </c>
      <c r="F5" s="1" t="s">
        <v>44</v>
      </c>
      <c r="G5" s="1" t="s">
        <v>45</v>
      </c>
      <c r="H5" s="1" t="s">
        <v>184</v>
      </c>
      <c r="I5" s="1" t="s">
        <v>446</v>
      </c>
      <c r="J5" s="1" t="s">
        <v>185</v>
      </c>
      <c r="K5" s="1" t="s">
        <v>447</v>
      </c>
      <c r="L5" s="1" t="s">
        <v>186</v>
      </c>
      <c r="M5" s="1" t="s">
        <v>448</v>
      </c>
      <c r="N5" s="1" t="s">
        <v>187</v>
      </c>
      <c r="O5" s="1" t="s">
        <v>188</v>
      </c>
      <c r="P5" s="1" t="s">
        <v>449</v>
      </c>
      <c r="Q5" s="1" t="s">
        <v>189</v>
      </c>
      <c r="R5" s="1" t="s">
        <v>46</v>
      </c>
      <c r="S5" s="19">
        <v>1.45</v>
      </c>
      <c r="T5" s="1">
        <v>7850</v>
      </c>
      <c r="U5" s="14">
        <v>1.45</v>
      </c>
      <c r="V5" s="20" cm="1">
        <f t="array" ref="V5">CalculatePrice(T5,$Q5,$R5,$S5,0,$S5)</f>
        <v>1.45</v>
      </c>
      <c r="W5" s="1">
        <v>7800</v>
      </c>
      <c r="X5" s="14">
        <v>1.45</v>
      </c>
      <c r="Y5" s="20" cm="1">
        <f t="array" ref="Y5">CalculatePrice(W5,$Q5,$R5,$V5,V5,$S5)</f>
        <v>1.45</v>
      </c>
      <c r="Z5" s="1">
        <v>7750</v>
      </c>
      <c r="AA5" s="14">
        <v>1.45</v>
      </c>
      <c r="AB5" s="20" cm="1">
        <f t="array" ref="AB5">CalculatePrice(Z5,$Q5,$R5,$V5,Y5,$S5)</f>
        <v>1.45</v>
      </c>
      <c r="AC5" s="1">
        <v>7700</v>
      </c>
      <c r="AD5" s="14">
        <v>1.45</v>
      </c>
      <c r="AE5" s="20" cm="1">
        <f t="array" ref="AE5">CalculatePrice(AC5,$Q5,$R5,$V5,AB5,$S5)</f>
        <v>1.45</v>
      </c>
      <c r="AF5" s="1">
        <v>7650</v>
      </c>
      <c r="AG5" s="14">
        <v>1.45</v>
      </c>
      <c r="AH5" s="20" cm="1">
        <f t="array" ref="AH5">CalculatePrice(AF5,$Q5,$R5,$V5,AE5,$S5)</f>
        <v>1.45</v>
      </c>
      <c r="AI5" s="1">
        <v>7651</v>
      </c>
      <c r="AJ5" s="14">
        <v>1.45</v>
      </c>
      <c r="AK5" s="20" cm="1">
        <f t="array" ref="AK5">CalculatePrice(AI5,$Q5,$R5,$V5,AH5,$S5)</f>
        <v>1.45</v>
      </c>
      <c r="AL5" s="1">
        <v>7652</v>
      </c>
      <c r="AM5" s="14">
        <v>1.45</v>
      </c>
      <c r="AN5" s="20" cm="1">
        <f t="array" ref="AN5">CalculatePrice(AL5,$Q5,$R5,$V5,AK5,$S5)</f>
        <v>1.45</v>
      </c>
      <c r="AO5" s="1">
        <v>7649</v>
      </c>
      <c r="AP5" s="14">
        <v>1.45</v>
      </c>
      <c r="AQ5" s="20" cm="1">
        <f t="array" ref="AQ5">CalculatePrice(AO5,$Q5,$R5,$V5,AN5,$S5)</f>
        <v>1.45</v>
      </c>
    </row>
    <row r="6" spans="1:43" x14ac:dyDescent="0.25">
      <c r="A6" s="1" t="s">
        <v>181</v>
      </c>
      <c r="B6" s="1">
        <v>2</v>
      </c>
      <c r="C6" s="1">
        <v>773915</v>
      </c>
      <c r="D6" s="1" t="s">
        <v>182</v>
      </c>
      <c r="E6" s="1" t="s">
        <v>181</v>
      </c>
      <c r="F6" s="1" t="s">
        <v>44</v>
      </c>
      <c r="G6" s="1" t="s">
        <v>45</v>
      </c>
      <c r="H6" s="1" t="s">
        <v>184</v>
      </c>
      <c r="I6" s="1" t="s">
        <v>446</v>
      </c>
      <c r="J6" s="1" t="s">
        <v>185</v>
      </c>
      <c r="K6" s="1" t="s">
        <v>447</v>
      </c>
      <c r="L6" s="1" t="s">
        <v>186</v>
      </c>
      <c r="M6" s="1" t="s">
        <v>448</v>
      </c>
      <c r="N6" s="1" t="s">
        <v>187</v>
      </c>
      <c r="O6" s="1" t="s">
        <v>188</v>
      </c>
      <c r="P6" s="1" t="s">
        <v>449</v>
      </c>
      <c r="Q6" s="1" t="s">
        <v>189</v>
      </c>
      <c r="R6" s="1" t="s">
        <v>46</v>
      </c>
      <c r="S6" s="19">
        <v>1.46</v>
      </c>
      <c r="T6" s="1">
        <v>7850</v>
      </c>
      <c r="U6" s="14">
        <v>1.46</v>
      </c>
      <c r="V6" s="20" cm="1">
        <f t="array" ref="V6">CalculatePrice(T6,$Q6,$R6,$S6,0,$S6)</f>
        <v>1.46</v>
      </c>
      <c r="W6" s="1">
        <v>7800</v>
      </c>
      <c r="X6" s="14">
        <v>1.46</v>
      </c>
      <c r="Y6" s="20" cm="1">
        <f t="array" ref="Y6">CalculatePrice(W6,$Q6,$R6,$V6,V6,$S6)</f>
        <v>1.46</v>
      </c>
      <c r="Z6" s="1">
        <v>7750</v>
      </c>
      <c r="AA6" s="14">
        <v>1.46</v>
      </c>
      <c r="AB6" s="20" cm="1">
        <f t="array" ref="AB6">CalculatePrice(Z6,$Q6,$R6,$V6,Y6,$S6)</f>
        <v>1.46</v>
      </c>
      <c r="AC6" s="1">
        <v>7700</v>
      </c>
      <c r="AD6" s="14">
        <v>1.46</v>
      </c>
      <c r="AE6" s="20" cm="1">
        <f t="array" ref="AE6">CalculatePrice(AC6,$Q6,$R6,$V6,AB6,$S6)</f>
        <v>1.46</v>
      </c>
      <c r="AF6" s="1">
        <v>7650</v>
      </c>
      <c r="AH6" s="20" cm="1">
        <f t="array" ref="AH6">CalculatePrice(AF6,$Q6,$R6,$V6,AE6,$S6)</f>
        <v>1.46</v>
      </c>
      <c r="AI6" s="1">
        <v>7651</v>
      </c>
      <c r="AK6" s="20" cm="1">
        <f t="array" ref="AK6">CalculatePrice(AI6,$Q6,$R6,$V6,AH6,$S6)</f>
        <v>1.46</v>
      </c>
      <c r="AL6" s="1">
        <v>7652</v>
      </c>
      <c r="AN6" s="20" cm="1">
        <f t="array" ref="AN6">CalculatePrice(AL6,$Q6,$R6,$V6,AK6,$S6)</f>
        <v>1.46</v>
      </c>
      <c r="AO6" s="1">
        <v>7649</v>
      </c>
      <c r="AQ6" s="20" cm="1">
        <f t="array" ref="AQ6">CalculatePrice(AO6,$Q6,$R6,$V6,AN6,$S6)</f>
        <v>1.46</v>
      </c>
    </row>
    <row r="7" spans="1:43" x14ac:dyDescent="0.25">
      <c r="A7" s="1" t="s">
        <v>190</v>
      </c>
      <c r="B7" s="1">
        <v>2</v>
      </c>
      <c r="C7" s="1">
        <v>701918</v>
      </c>
      <c r="D7" s="1" t="s">
        <v>191</v>
      </c>
      <c r="E7" s="1" t="s">
        <v>192</v>
      </c>
      <c r="F7" s="1" t="s">
        <v>53</v>
      </c>
      <c r="G7" s="1" t="s">
        <v>54</v>
      </c>
      <c r="H7" s="1" t="s">
        <v>55</v>
      </c>
      <c r="I7" s="1" t="s">
        <v>56</v>
      </c>
      <c r="J7" s="1" t="s">
        <v>193</v>
      </c>
      <c r="K7" s="1" t="s">
        <v>194</v>
      </c>
      <c r="L7" s="1" t="s">
        <v>195</v>
      </c>
      <c r="M7" s="1" t="s">
        <v>196</v>
      </c>
      <c r="N7" s="1" t="s">
        <v>197</v>
      </c>
      <c r="O7" s="1" t="s">
        <v>198</v>
      </c>
      <c r="P7" s="1" t="s">
        <v>449</v>
      </c>
      <c r="Q7" s="1" t="s">
        <v>46</v>
      </c>
      <c r="R7" s="1" t="s">
        <v>46</v>
      </c>
      <c r="S7" s="19">
        <v>0</v>
      </c>
      <c r="T7" s="1">
        <v>7850</v>
      </c>
      <c r="V7" s="20" cm="1">
        <f t="array" ref="V7">CalculatePrice(T7,$Q7,$R7,$S7,0,$S7)</f>
        <v>0</v>
      </c>
      <c r="W7" s="1">
        <v>7800</v>
      </c>
      <c r="Z7" s="1">
        <v>7750</v>
      </c>
      <c r="AC7" s="1">
        <v>7700</v>
      </c>
      <c r="AF7" s="1">
        <v>7650</v>
      </c>
      <c r="AI7" s="1">
        <v>7651</v>
      </c>
      <c r="AL7" s="1">
        <v>7652</v>
      </c>
      <c r="AO7" s="1">
        <v>7649</v>
      </c>
    </row>
    <row r="8" spans="1:43" x14ac:dyDescent="0.25">
      <c r="A8" s="1" t="s">
        <v>190</v>
      </c>
      <c r="B8" s="1">
        <v>1</v>
      </c>
      <c r="C8" s="1">
        <v>506405</v>
      </c>
      <c r="D8" s="1" t="s">
        <v>199</v>
      </c>
      <c r="E8" s="1" t="s">
        <v>200</v>
      </c>
      <c r="F8" s="1" t="s">
        <v>53</v>
      </c>
      <c r="G8" s="1" t="s">
        <v>54</v>
      </c>
      <c r="H8" s="1" t="s">
        <v>55</v>
      </c>
      <c r="I8" s="1" t="s">
        <v>56</v>
      </c>
      <c r="J8" s="1" t="s">
        <v>193</v>
      </c>
      <c r="K8" s="1" t="s">
        <v>194</v>
      </c>
      <c r="L8" s="1" t="s">
        <v>195</v>
      </c>
      <c r="M8" s="1" t="s">
        <v>196</v>
      </c>
      <c r="N8" s="1" t="s">
        <v>197</v>
      </c>
      <c r="O8" s="1" t="s">
        <v>198</v>
      </c>
      <c r="P8" s="1" t="s">
        <v>449</v>
      </c>
      <c r="Q8" s="1" t="s">
        <v>57</v>
      </c>
      <c r="R8" s="1" t="s">
        <v>46</v>
      </c>
      <c r="S8" s="19">
        <v>4.9000000000000004</v>
      </c>
      <c r="T8" s="1">
        <v>7850</v>
      </c>
      <c r="U8" s="14">
        <v>4.9000000000000004</v>
      </c>
      <c r="V8" s="20" cm="1">
        <f t="array" ref="V8">CalculatePrice(T8,$Q8,$R8,$S8,0,$S8)</f>
        <v>4.9000000000000004</v>
      </c>
      <c r="W8" s="1">
        <v>7800</v>
      </c>
      <c r="X8" s="14">
        <v>4.9000000000000004</v>
      </c>
      <c r="Y8" s="20" cm="1">
        <f t="array" ref="Y8">CalculatePrice(W8,$Q8,$R8,$V8,V8,$S8)</f>
        <v>4.9000000000000004</v>
      </c>
      <c r="Z8" s="1">
        <v>7750</v>
      </c>
      <c r="AA8" s="14">
        <v>4.9000000000000004</v>
      </c>
      <c r="AB8" s="20" cm="1">
        <f t="array" ref="AB8">CalculatePrice(Z8,$Q8,$R8,$V8,Y8,$S8)</f>
        <v>4.9000000000000004</v>
      </c>
      <c r="AC8" s="1">
        <v>7700</v>
      </c>
      <c r="AD8" s="14">
        <v>4.9000000000000004</v>
      </c>
      <c r="AE8" s="20" cm="1">
        <f t="array" ref="AE8">CalculatePrice(AC8,$Q8,$R8,$V8,AB8,$S8)</f>
        <v>4.9000000000000004</v>
      </c>
      <c r="AF8" s="1">
        <v>7650</v>
      </c>
      <c r="AH8" s="20" cm="1">
        <f t="array" ref="AH8">CalculatePrice(AF8,$Q8,$R8,$V8,AE8,$S8)</f>
        <v>4.9000000000000004</v>
      </c>
      <c r="AI8" s="1">
        <v>7651</v>
      </c>
      <c r="AK8" s="20" cm="1">
        <f t="array" ref="AK8">CalculatePrice(AI8,$Q8,$R8,$V8,AH8,$S8)</f>
        <v>4.9000000000000004</v>
      </c>
      <c r="AL8" s="1">
        <v>7652</v>
      </c>
      <c r="AN8" s="20" cm="1">
        <f t="array" ref="AN8">CalculatePrice(AL8,$Q8,$R8,$V8,AK8,$S8)</f>
        <v>4.9000000000000004</v>
      </c>
      <c r="AO8" s="1">
        <v>7649</v>
      </c>
      <c r="AP8" s="14">
        <v>4.9000000000000004</v>
      </c>
      <c r="AQ8" s="20" cm="1">
        <f t="array" ref="AQ8">CalculatePrice(AO8,$Q8,$R8,$V8,AN8,$S8)</f>
        <v>4.9000000000000004</v>
      </c>
    </row>
    <row r="9" spans="1:43" x14ac:dyDescent="0.25">
      <c r="A9" s="1" t="s">
        <v>201</v>
      </c>
      <c r="B9" s="1">
        <v>1</v>
      </c>
      <c r="C9" s="1">
        <v>652973</v>
      </c>
      <c r="D9" s="1" t="s">
        <v>450</v>
      </c>
      <c r="E9" s="1" t="s">
        <v>202</v>
      </c>
      <c r="F9" s="1" t="s">
        <v>44</v>
      </c>
      <c r="G9" s="1" t="s">
        <v>45</v>
      </c>
      <c r="H9" s="1" t="s">
        <v>58</v>
      </c>
      <c r="I9" s="1" t="s">
        <v>59</v>
      </c>
      <c r="J9" s="1" t="s">
        <v>203</v>
      </c>
      <c r="K9" s="1" t="s">
        <v>204</v>
      </c>
      <c r="L9" s="1" t="s">
        <v>205</v>
      </c>
      <c r="M9" s="1" t="s">
        <v>451</v>
      </c>
      <c r="N9" s="1" t="s">
        <v>206</v>
      </c>
      <c r="O9" s="1" t="s">
        <v>451</v>
      </c>
      <c r="P9" s="1" t="s">
        <v>449</v>
      </c>
      <c r="Q9" s="1" t="s">
        <v>60</v>
      </c>
      <c r="R9" s="1" t="s">
        <v>46</v>
      </c>
      <c r="S9" s="19">
        <v>11.75</v>
      </c>
      <c r="T9" s="1">
        <v>7850</v>
      </c>
      <c r="U9" s="14">
        <v>11.75</v>
      </c>
      <c r="V9" s="20" cm="1">
        <f t="array" ref="V9">CalculatePrice(T9,$Q9,$R9,$S9,0,$S9)</f>
        <v>11.75</v>
      </c>
      <c r="W9" s="1">
        <v>7800</v>
      </c>
      <c r="X9" s="14">
        <v>11.75</v>
      </c>
      <c r="Y9" s="20" cm="1">
        <f t="array" ref="Y9">CalculatePrice(W9,$Q9,$R9,$V9,V9,$S9)</f>
        <v>11.75</v>
      </c>
      <c r="Z9" s="1">
        <v>7750</v>
      </c>
      <c r="AA9" s="14">
        <v>11.75</v>
      </c>
      <c r="AB9" s="20" cm="1">
        <f t="array" ref="AB9">CalculatePrice(Z9,$Q9,$R9,$V9,Y9,$S9)</f>
        <v>11.75</v>
      </c>
      <c r="AC9" s="1">
        <v>7700</v>
      </c>
      <c r="AD9" s="14">
        <v>11.75</v>
      </c>
      <c r="AE9" s="20" cm="1">
        <f t="array" ref="AE9">CalculatePrice(AC9,$Q9,$R9,$V9,AB9,$S9)</f>
        <v>11.75</v>
      </c>
      <c r="AF9" s="1">
        <v>7650</v>
      </c>
      <c r="AH9" s="20" cm="1">
        <f t="array" ref="AH9">CalculatePrice(AF9,$Q9,$R9,$V9,AE9,$S9)</f>
        <v>11.75</v>
      </c>
      <c r="AI9" s="1">
        <v>7651</v>
      </c>
      <c r="AK9" s="20" cm="1">
        <f t="array" ref="AK9">CalculatePrice(AI9,$Q9,$R9,$V9,AH9,$S9)</f>
        <v>11.75</v>
      </c>
      <c r="AL9" s="1">
        <v>7652</v>
      </c>
      <c r="AN9" s="20" cm="1">
        <f t="array" ref="AN9">CalculatePrice(AL9,$Q9,$R9,$V9,AK9,$S9)</f>
        <v>11.75</v>
      </c>
      <c r="AO9" s="1">
        <v>7649</v>
      </c>
      <c r="AP9" s="14">
        <v>11.15</v>
      </c>
      <c r="AQ9" s="20" cm="1">
        <f t="array" ref="AQ9">CalculatePrice(AO9,$Q9,$R9,$V9,AN9,$S9)</f>
        <v>11.75</v>
      </c>
    </row>
    <row r="10" spans="1:43" x14ac:dyDescent="0.25">
      <c r="A10" s="1" t="s">
        <v>106</v>
      </c>
      <c r="B10" s="1">
        <v>1</v>
      </c>
      <c r="C10" s="1">
        <v>506416</v>
      </c>
      <c r="D10" s="1" t="s">
        <v>452</v>
      </c>
      <c r="E10" s="1" t="s">
        <v>107</v>
      </c>
      <c r="F10" s="1" t="s">
        <v>47</v>
      </c>
      <c r="G10" s="1" t="s">
        <v>453</v>
      </c>
      <c r="H10" s="1" t="s">
        <v>48</v>
      </c>
      <c r="I10" s="1" t="s">
        <v>454</v>
      </c>
      <c r="J10" s="1" t="s">
        <v>61</v>
      </c>
      <c r="K10" s="1" t="s">
        <v>62</v>
      </c>
      <c r="L10" s="1" t="s">
        <v>63</v>
      </c>
      <c r="M10" s="1" t="s">
        <v>64</v>
      </c>
      <c r="N10" s="1" t="s">
        <v>108</v>
      </c>
      <c r="O10" s="1" t="s">
        <v>109</v>
      </c>
      <c r="P10" s="1" t="s">
        <v>449</v>
      </c>
      <c r="Q10" s="1" t="s">
        <v>60</v>
      </c>
      <c r="R10" s="1" t="s">
        <v>110</v>
      </c>
      <c r="S10" s="19">
        <v>1.1499999999999999</v>
      </c>
      <c r="T10" s="1">
        <v>7850</v>
      </c>
      <c r="U10" s="14">
        <v>1.1499999999999999</v>
      </c>
      <c r="V10" s="20" cm="1">
        <f t="array" ref="V10">CalculatePrice(T10,$Q10,$R10,$S10,0,$S10)</f>
        <v>1.1499999999999999</v>
      </c>
      <c r="W10" s="1">
        <v>7800</v>
      </c>
      <c r="X10" s="14">
        <v>1.1499999999999999</v>
      </c>
      <c r="Y10" s="20" cm="1">
        <f t="array" ref="Y10">CalculatePrice(W10,$Q10,$R10,$V10,V10,$S10)</f>
        <v>1.1499999999999999</v>
      </c>
      <c r="Z10" s="1">
        <v>7750</v>
      </c>
      <c r="AA10" s="14">
        <v>1.1499999999999999</v>
      </c>
      <c r="AB10" s="20" cm="1">
        <f t="array" ref="AB10">CalculatePrice(Z10,$Q10,$R10,$V10,Y10,$S10)</f>
        <v>1.1499999999999999</v>
      </c>
      <c r="AC10" s="1">
        <v>7700</v>
      </c>
      <c r="AD10" s="14">
        <v>1.1499999999999999</v>
      </c>
      <c r="AE10" s="20" cm="1">
        <f t="array" ref="AE10">CalculatePrice(AC10,$Q10,$R10,$V10,AB10,$S10)</f>
        <v>1.1499999999999999</v>
      </c>
      <c r="AF10" s="1">
        <v>7650</v>
      </c>
      <c r="AG10" s="14">
        <v>1.1499999999999999</v>
      </c>
      <c r="AH10" s="20" cm="1">
        <f t="array" ref="AH10">CalculatePrice(AF10,$Q10,$R10,$V10,AE10,$S10)</f>
        <v>1.1499999999999999</v>
      </c>
      <c r="AI10" s="1">
        <v>7651</v>
      </c>
      <c r="AJ10" s="14">
        <v>1.1499999999999999</v>
      </c>
      <c r="AK10" s="20" cm="1">
        <f t="array" ref="AK10">CalculatePrice(AI10,$Q10,$R10,$V10,AH10,$S10)</f>
        <v>1.1499999999999999</v>
      </c>
      <c r="AL10" s="1">
        <v>7652</v>
      </c>
      <c r="AM10" s="14">
        <v>1.1499999999999999</v>
      </c>
      <c r="AN10" s="20" cm="1">
        <f t="array" ref="AN10">CalculatePrice(AL10,$Q10,$R10,$V10,AK10,$S10)</f>
        <v>1.1499999999999999</v>
      </c>
      <c r="AO10" s="1">
        <v>7649</v>
      </c>
      <c r="AP10" s="14">
        <v>1.1499999999999999</v>
      </c>
      <c r="AQ10" s="20" cm="1">
        <f t="array" ref="AQ10">CalculatePrice(AO10,$Q10,$R10,$V10,AN10,$S10)</f>
        <v>1.1499999999999999</v>
      </c>
    </row>
    <row r="11" spans="1:43" x14ac:dyDescent="0.25">
      <c r="A11" s="1" t="s">
        <v>111</v>
      </c>
      <c r="B11" s="1">
        <v>1</v>
      </c>
      <c r="C11" s="1">
        <v>506425</v>
      </c>
      <c r="D11" s="1" t="s">
        <v>112</v>
      </c>
      <c r="E11" s="1" t="s">
        <v>113</v>
      </c>
      <c r="F11" s="1" t="s">
        <v>47</v>
      </c>
      <c r="G11" s="1" t="s">
        <v>453</v>
      </c>
      <c r="H11" s="1" t="s">
        <v>48</v>
      </c>
      <c r="I11" s="1" t="s">
        <v>454</v>
      </c>
      <c r="J11" s="1" t="s">
        <v>61</v>
      </c>
      <c r="K11" s="1" t="s">
        <v>62</v>
      </c>
      <c r="L11" s="1" t="s">
        <v>63</v>
      </c>
      <c r="M11" s="1" t="s">
        <v>64</v>
      </c>
      <c r="N11" s="1" t="s">
        <v>108</v>
      </c>
      <c r="O11" s="1" t="s">
        <v>109</v>
      </c>
      <c r="P11" s="1" t="s">
        <v>449</v>
      </c>
      <c r="Q11" s="1" t="s">
        <v>60</v>
      </c>
      <c r="R11" s="1" t="s">
        <v>110</v>
      </c>
      <c r="S11" s="19">
        <v>1.19</v>
      </c>
      <c r="T11" s="1">
        <v>7850</v>
      </c>
      <c r="U11" s="14">
        <v>1.19</v>
      </c>
      <c r="V11" s="20" cm="1">
        <f t="array" ref="V11">CalculatePrice(T11,$Q11,$R11,$S11,0,$S11)</f>
        <v>1.19</v>
      </c>
      <c r="W11" s="1">
        <v>7800</v>
      </c>
      <c r="X11" s="14">
        <v>1.19</v>
      </c>
      <c r="Y11" s="20" cm="1">
        <f t="array" ref="Y11">CalculatePrice(W11,$Q11,$R11,$V11,V11,$S11)</f>
        <v>1.19</v>
      </c>
      <c r="Z11" s="1">
        <v>7750</v>
      </c>
      <c r="AA11" s="14">
        <v>1.19</v>
      </c>
      <c r="AB11" s="20" cm="1">
        <f t="array" ref="AB11">CalculatePrice(Z11,$Q11,$R11,$V11,Y11,$S11)</f>
        <v>1.19</v>
      </c>
      <c r="AC11" s="1">
        <v>7700</v>
      </c>
      <c r="AD11" s="14">
        <v>1.19</v>
      </c>
      <c r="AE11" s="20" cm="1">
        <f t="array" ref="AE11">CalculatePrice(AC11,$Q11,$R11,$V11,AB11,$S11)</f>
        <v>1.19</v>
      </c>
      <c r="AF11" s="1">
        <v>7650</v>
      </c>
      <c r="AG11" s="14">
        <v>1.19</v>
      </c>
      <c r="AH11" s="20" cm="1">
        <f t="array" ref="AH11">CalculatePrice(AF11,$Q11,$R11,$V11,AE11,$S11)</f>
        <v>1.19</v>
      </c>
      <c r="AI11" s="1">
        <v>7651</v>
      </c>
      <c r="AJ11" s="14">
        <v>1.19</v>
      </c>
      <c r="AK11" s="20" cm="1">
        <f t="array" ref="AK11">CalculatePrice(AI11,$Q11,$R11,$V11,AH11,$S11)</f>
        <v>1.19</v>
      </c>
      <c r="AL11" s="1">
        <v>7652</v>
      </c>
      <c r="AM11" s="14">
        <v>1.19</v>
      </c>
      <c r="AN11" s="20" cm="1">
        <f t="array" ref="AN11">CalculatePrice(AL11,$Q11,$R11,$V11,AK11,$S11)</f>
        <v>1.19</v>
      </c>
      <c r="AO11" s="1">
        <v>7649</v>
      </c>
      <c r="AP11" s="14">
        <v>1.19</v>
      </c>
      <c r="AQ11" s="20" cm="1">
        <f t="array" ref="AQ11">CalculatePrice(AO11,$Q11,$R11,$V11,AN11,$S11)</f>
        <v>1.19</v>
      </c>
    </row>
    <row r="12" spans="1:43" x14ac:dyDescent="0.25">
      <c r="A12" s="1" t="s">
        <v>207</v>
      </c>
      <c r="B12" s="1">
        <v>1</v>
      </c>
      <c r="C12" s="1">
        <v>652976</v>
      </c>
      <c r="D12" s="1" t="s">
        <v>455</v>
      </c>
      <c r="E12" s="1" t="s">
        <v>208</v>
      </c>
      <c r="F12" s="1" t="s">
        <v>44</v>
      </c>
      <c r="G12" s="1" t="s">
        <v>45</v>
      </c>
      <c r="H12" s="1" t="s">
        <v>58</v>
      </c>
      <c r="I12" s="1" t="s">
        <v>59</v>
      </c>
      <c r="J12" s="1" t="s">
        <v>203</v>
      </c>
      <c r="K12" s="1" t="s">
        <v>204</v>
      </c>
      <c r="L12" s="1" t="s">
        <v>209</v>
      </c>
      <c r="M12" s="1" t="s">
        <v>456</v>
      </c>
      <c r="N12" s="1" t="s">
        <v>210</v>
      </c>
      <c r="O12" s="1" t="s">
        <v>456</v>
      </c>
      <c r="P12" s="1" t="s">
        <v>449</v>
      </c>
      <c r="Q12" s="1" t="s">
        <v>60</v>
      </c>
      <c r="R12" s="1" t="s">
        <v>46</v>
      </c>
      <c r="S12" s="19">
        <v>7.25</v>
      </c>
      <c r="T12" s="1">
        <v>7850</v>
      </c>
      <c r="U12" s="14">
        <v>7.25</v>
      </c>
      <c r="V12" s="20" cm="1">
        <f t="array" ref="V12">CalculatePrice(T12,$Q12,$R12,$S12,0,$S12)</f>
        <v>7.25</v>
      </c>
      <c r="W12" s="1">
        <v>7800</v>
      </c>
      <c r="X12" s="14">
        <v>7.25</v>
      </c>
      <c r="Y12" s="20" cm="1">
        <f t="array" ref="Y12">CalculatePrice(W12,$Q12,$R12,$V12,V12,$S12)</f>
        <v>7.25</v>
      </c>
      <c r="Z12" s="1">
        <v>7750</v>
      </c>
      <c r="AA12" s="14">
        <v>7.25</v>
      </c>
      <c r="AB12" s="20" cm="1">
        <f t="array" ref="AB12">CalculatePrice(Z12,$Q12,$R12,$V12,Y12,$S12)</f>
        <v>7.25</v>
      </c>
      <c r="AC12" s="1">
        <v>7700</v>
      </c>
      <c r="AD12" s="14">
        <v>7.25</v>
      </c>
      <c r="AE12" s="20" cm="1">
        <f t="array" ref="AE12">CalculatePrice(AC12,$Q12,$R12,$V12,AB12,$S12)</f>
        <v>7.25</v>
      </c>
      <c r="AF12" s="1">
        <v>7650</v>
      </c>
      <c r="AH12" s="20" cm="1">
        <f t="array" ref="AH12">CalculatePrice(AF12,$Q12,$R12,$V12,AE12,$S12)</f>
        <v>7.25</v>
      </c>
      <c r="AI12" s="1">
        <v>7651</v>
      </c>
      <c r="AK12" s="20" cm="1">
        <f t="array" ref="AK12">CalculatePrice(AI12,$Q12,$R12,$V12,AH12,$S12)</f>
        <v>7.25</v>
      </c>
      <c r="AL12" s="1">
        <v>7652</v>
      </c>
      <c r="AN12" s="20" cm="1">
        <f t="array" ref="AN12">CalculatePrice(AL12,$Q12,$R12,$V12,AK12,$S12)</f>
        <v>7.25</v>
      </c>
      <c r="AO12" s="1">
        <v>7649</v>
      </c>
      <c r="AP12" s="14">
        <v>7.25</v>
      </c>
      <c r="AQ12" s="20" cm="1">
        <f t="array" ref="AQ12">CalculatePrice(AO12,$Q12,$R12,$V12,AN12,$S12)</f>
        <v>7.25</v>
      </c>
    </row>
    <row r="13" spans="1:43" x14ac:dyDescent="0.25">
      <c r="A13" s="1" t="s">
        <v>211</v>
      </c>
      <c r="B13" s="1">
        <v>2</v>
      </c>
      <c r="C13" s="1">
        <v>701924</v>
      </c>
      <c r="D13" s="1" t="s">
        <v>212</v>
      </c>
      <c r="E13" s="1" t="s">
        <v>213</v>
      </c>
      <c r="F13" s="1" t="s">
        <v>53</v>
      </c>
      <c r="G13" s="1" t="s">
        <v>54</v>
      </c>
      <c r="H13" s="1" t="s">
        <v>55</v>
      </c>
      <c r="I13" s="1" t="s">
        <v>56</v>
      </c>
      <c r="J13" s="1" t="s">
        <v>193</v>
      </c>
      <c r="K13" s="1" t="s">
        <v>194</v>
      </c>
      <c r="L13" s="1" t="s">
        <v>195</v>
      </c>
      <c r="M13" s="1" t="s">
        <v>196</v>
      </c>
      <c r="N13" s="1" t="s">
        <v>197</v>
      </c>
      <c r="O13" s="1" t="s">
        <v>198</v>
      </c>
      <c r="P13" s="1" t="s">
        <v>449</v>
      </c>
      <c r="Q13" s="1" t="s">
        <v>46</v>
      </c>
      <c r="R13" s="1" t="s">
        <v>46</v>
      </c>
      <c r="S13" s="19">
        <v>0</v>
      </c>
      <c r="T13" s="1">
        <v>7850</v>
      </c>
      <c r="W13" s="1">
        <v>7800</v>
      </c>
      <c r="Z13" s="1">
        <v>7750</v>
      </c>
      <c r="AC13" s="1">
        <v>7700</v>
      </c>
      <c r="AF13" s="1">
        <v>7650</v>
      </c>
      <c r="AI13" s="1">
        <v>7651</v>
      </c>
      <c r="AL13" s="1">
        <v>7652</v>
      </c>
      <c r="AO13" s="1">
        <v>7649</v>
      </c>
    </row>
    <row r="14" spans="1:43" x14ac:dyDescent="0.25">
      <c r="A14" s="1" t="s">
        <v>211</v>
      </c>
      <c r="B14" s="1">
        <v>1</v>
      </c>
      <c r="C14" s="1">
        <v>506434</v>
      </c>
      <c r="D14" s="1" t="s">
        <v>214</v>
      </c>
      <c r="E14" s="1" t="s">
        <v>215</v>
      </c>
      <c r="F14" s="1" t="s">
        <v>53</v>
      </c>
      <c r="G14" s="1" t="s">
        <v>54</v>
      </c>
      <c r="H14" s="1" t="s">
        <v>55</v>
      </c>
      <c r="I14" s="1" t="s">
        <v>56</v>
      </c>
      <c r="J14" s="1" t="s">
        <v>193</v>
      </c>
      <c r="K14" s="1" t="s">
        <v>194</v>
      </c>
      <c r="L14" s="1" t="s">
        <v>195</v>
      </c>
      <c r="M14" s="1" t="s">
        <v>196</v>
      </c>
      <c r="N14" s="1" t="s">
        <v>197</v>
      </c>
      <c r="O14" s="1" t="s">
        <v>198</v>
      </c>
      <c r="P14" s="1" t="s">
        <v>449</v>
      </c>
      <c r="Q14" s="1" t="s">
        <v>57</v>
      </c>
      <c r="R14" s="1" t="s">
        <v>46</v>
      </c>
      <c r="S14" s="19">
        <v>4.9000000000000004</v>
      </c>
      <c r="T14" s="1">
        <v>7850</v>
      </c>
      <c r="U14" s="14">
        <v>4.9000000000000004</v>
      </c>
      <c r="V14" s="20" cm="1">
        <f t="array" ref="V14">CalculatePrice(T14,$Q14,$R14,$S14,0,$S14)</f>
        <v>4.9000000000000004</v>
      </c>
      <c r="W14" s="1">
        <v>7800</v>
      </c>
      <c r="X14" s="14">
        <v>4.9000000000000004</v>
      </c>
      <c r="Y14" s="20" cm="1">
        <f t="array" ref="Y14">CalculatePrice(W14,$Q14,$R14,$V14,V14,$S14)</f>
        <v>4.9000000000000004</v>
      </c>
      <c r="Z14" s="1">
        <v>7750</v>
      </c>
      <c r="AA14" s="14">
        <v>4.9000000000000004</v>
      </c>
      <c r="AB14" s="20" cm="1">
        <f t="array" ref="AB14">CalculatePrice(Z14,$Q14,$R14,$V14,Y14,$S14)</f>
        <v>4.9000000000000004</v>
      </c>
      <c r="AC14" s="1">
        <v>7700</v>
      </c>
      <c r="AD14" s="14">
        <v>4.9000000000000004</v>
      </c>
      <c r="AE14" s="20" cm="1">
        <f t="array" ref="AE14">CalculatePrice(AC14,$Q14,$R14,$V14,AB14,$S14)</f>
        <v>4.9000000000000004</v>
      </c>
      <c r="AF14" s="1">
        <v>7650</v>
      </c>
      <c r="AH14" s="20" cm="1">
        <f t="array" ref="AH14">CalculatePrice(AF14,$Q14,$R14,$V14,AE14,$S14)</f>
        <v>4.9000000000000004</v>
      </c>
      <c r="AI14" s="1">
        <v>7651</v>
      </c>
      <c r="AK14" s="20" cm="1">
        <f t="array" ref="AK14">CalculatePrice(AI14,$Q14,$R14,$V14,AH14,$S14)</f>
        <v>4.9000000000000004</v>
      </c>
      <c r="AL14" s="1">
        <v>7652</v>
      </c>
      <c r="AN14" s="20" cm="1">
        <f t="array" ref="AN14">CalculatePrice(AL14,$Q14,$R14,$V14,AK14,$S14)</f>
        <v>4.9000000000000004</v>
      </c>
      <c r="AO14" s="1">
        <v>7649</v>
      </c>
      <c r="AP14" s="14">
        <v>4.9000000000000004</v>
      </c>
      <c r="AQ14" s="20" cm="1">
        <f t="array" ref="AQ14">CalculatePrice(AO14,$Q14,$R14,$V14,AN14,$S14)</f>
        <v>4.9000000000000004</v>
      </c>
    </row>
    <row r="15" spans="1:43" x14ac:dyDescent="0.25">
      <c r="A15" s="1" t="s">
        <v>114</v>
      </c>
      <c r="B15" s="1">
        <v>1</v>
      </c>
      <c r="C15" s="1">
        <v>506445</v>
      </c>
      <c r="D15" s="1" t="s">
        <v>457</v>
      </c>
      <c r="E15" s="1" t="s">
        <v>115</v>
      </c>
      <c r="F15" s="1" t="s">
        <v>49</v>
      </c>
      <c r="G15" s="1" t="s">
        <v>458</v>
      </c>
      <c r="H15" s="1" t="s">
        <v>50</v>
      </c>
      <c r="I15" s="1" t="s">
        <v>459</v>
      </c>
      <c r="J15" s="1" t="s">
        <v>65</v>
      </c>
      <c r="K15" s="1" t="s">
        <v>66</v>
      </c>
      <c r="L15" s="1" t="s">
        <v>67</v>
      </c>
      <c r="M15" s="1" t="s">
        <v>68</v>
      </c>
      <c r="N15" s="1" t="s">
        <v>116</v>
      </c>
      <c r="O15" s="1" t="s">
        <v>117</v>
      </c>
      <c r="P15" s="1" t="s">
        <v>449</v>
      </c>
      <c r="Q15" s="1" t="s">
        <v>60</v>
      </c>
      <c r="R15" s="1" t="s">
        <v>118</v>
      </c>
      <c r="S15" s="19">
        <v>1.02</v>
      </c>
      <c r="T15" s="1">
        <v>7850</v>
      </c>
      <c r="U15" s="14">
        <v>1.02</v>
      </c>
      <c r="V15" s="20" cm="1">
        <f t="array" ref="V15">CalculatePrice(T15,$Q15,$R15,$S15,0,$S15)</f>
        <v>1.02</v>
      </c>
      <c r="W15" s="1">
        <v>7800</v>
      </c>
      <c r="X15" s="14">
        <v>1.02</v>
      </c>
      <c r="Y15" s="20" cm="1">
        <f t="array" ref="Y15">CalculatePrice(W15,$Q15,$R15,$V15,V15,$S15)</f>
        <v>1.02</v>
      </c>
      <c r="Z15" s="1">
        <v>7750</v>
      </c>
      <c r="AA15" s="14">
        <v>1.02</v>
      </c>
      <c r="AB15" s="20" cm="1">
        <f t="array" ref="AB15">CalculatePrice(Z15,$Q15,$R15,$V15,Y15,$S15)</f>
        <v>1.02</v>
      </c>
      <c r="AC15" s="1">
        <v>7700</v>
      </c>
      <c r="AD15" s="14">
        <v>1.02</v>
      </c>
      <c r="AE15" s="20" cm="1">
        <f t="array" ref="AE15">CalculatePrice(AC15,$Q15,$R15,$V15,AB15,$S15)</f>
        <v>1.02</v>
      </c>
      <c r="AF15" s="1">
        <v>7650</v>
      </c>
      <c r="AG15" s="14">
        <v>1.02</v>
      </c>
      <c r="AH15" s="20" cm="1">
        <f t="array" ref="AH15">CalculatePrice(AF15,$Q15,$R15,$V15,AE15,$S15)</f>
        <v>1.02</v>
      </c>
      <c r="AI15" s="1">
        <v>7651</v>
      </c>
      <c r="AJ15" s="14">
        <v>1.02</v>
      </c>
      <c r="AK15" s="20" cm="1">
        <f t="array" ref="AK15">CalculatePrice(AI15,$Q15,$R15,$V15,AH15,$S15)</f>
        <v>1.02</v>
      </c>
      <c r="AL15" s="1">
        <v>7652</v>
      </c>
      <c r="AM15" s="14">
        <v>1.02</v>
      </c>
      <c r="AN15" s="20" cm="1">
        <f t="array" ref="AN15">CalculatePrice(AL15,$Q15,$R15,$V15,AK15,$S15)</f>
        <v>1.02</v>
      </c>
      <c r="AO15" s="1">
        <v>7649</v>
      </c>
      <c r="AP15" s="14">
        <v>1.02</v>
      </c>
      <c r="AQ15" s="20" cm="1">
        <f t="array" ref="AQ15">CalculatePrice(AO15,$Q15,$R15,$V15,AN15,$S15)</f>
        <v>1.02</v>
      </c>
    </row>
    <row r="16" spans="1:43" x14ac:dyDescent="0.25">
      <c r="A16" s="1" t="s">
        <v>216</v>
      </c>
      <c r="B16" s="1">
        <v>1</v>
      </c>
      <c r="C16" s="1">
        <v>506454</v>
      </c>
      <c r="D16" s="1" t="s">
        <v>217</v>
      </c>
      <c r="E16" s="1" t="s">
        <v>218</v>
      </c>
      <c r="F16" s="1" t="s">
        <v>44</v>
      </c>
      <c r="G16" s="1" t="s">
        <v>45</v>
      </c>
      <c r="H16" s="1" t="s">
        <v>184</v>
      </c>
      <c r="I16" s="1" t="s">
        <v>446</v>
      </c>
      <c r="J16" s="1" t="s">
        <v>185</v>
      </c>
      <c r="K16" s="1" t="s">
        <v>447</v>
      </c>
      <c r="L16" s="1" t="s">
        <v>186</v>
      </c>
      <c r="M16" s="1" t="s">
        <v>448</v>
      </c>
      <c r="N16" s="1" t="s">
        <v>219</v>
      </c>
      <c r="O16" s="1" t="s">
        <v>217</v>
      </c>
      <c r="P16" s="1" t="s">
        <v>449</v>
      </c>
      <c r="Q16" s="1" t="s">
        <v>189</v>
      </c>
      <c r="R16" s="1" t="s">
        <v>46</v>
      </c>
      <c r="S16" s="19">
        <v>0.65</v>
      </c>
      <c r="T16" s="1">
        <v>7850</v>
      </c>
      <c r="U16" s="14">
        <v>0.65</v>
      </c>
      <c r="V16" s="20" cm="1">
        <f t="array" ref="V16">CalculatePrice(T16,$Q16,$R16,$S16,0,$S16)</f>
        <v>0.65</v>
      </c>
      <c r="W16" s="1">
        <v>7800</v>
      </c>
      <c r="X16" s="14">
        <v>0.65</v>
      </c>
      <c r="Y16" s="20" cm="1">
        <f t="array" ref="Y16">CalculatePrice(W16,$Q16,$R16,$V16,V16,$S16)</f>
        <v>0.65</v>
      </c>
      <c r="Z16" s="1">
        <v>7750</v>
      </c>
      <c r="AA16" s="14">
        <v>0.75</v>
      </c>
      <c r="AB16" s="20" cm="1">
        <f t="array" ref="AB16">CalculatePrice(Z16,$Q16,$R16,$V16,Y16,$S16)</f>
        <v>0.65</v>
      </c>
      <c r="AC16" s="1">
        <v>7700</v>
      </c>
      <c r="AD16" s="14">
        <v>0.75</v>
      </c>
      <c r="AE16" s="20" cm="1">
        <f t="array" ref="AE16">CalculatePrice(AC16,$Q16,$R16,$V16,AB16,$S16)</f>
        <v>0.65</v>
      </c>
      <c r="AF16" s="1">
        <v>7650</v>
      </c>
      <c r="AG16" s="14">
        <v>0.85</v>
      </c>
      <c r="AH16" s="20" cm="1">
        <f t="array" ref="AH16">CalculatePrice(AF16,$Q16,$R16,$V16,AE16,$S16)</f>
        <v>0.65</v>
      </c>
      <c r="AI16" s="1">
        <v>7651</v>
      </c>
      <c r="AJ16" s="14">
        <v>0.85</v>
      </c>
      <c r="AK16" s="20" cm="1">
        <f t="array" ref="AK16">CalculatePrice(AI16,$Q16,$R16,$V16,AH16,$S16)</f>
        <v>0.65</v>
      </c>
      <c r="AL16" s="1">
        <v>7652</v>
      </c>
      <c r="AM16" s="14">
        <v>0.85</v>
      </c>
      <c r="AN16" s="20" cm="1">
        <f t="array" ref="AN16">CalculatePrice(AL16,$Q16,$R16,$V16,AK16,$S16)</f>
        <v>0.65</v>
      </c>
      <c r="AO16" s="1">
        <v>7649</v>
      </c>
      <c r="AP16" s="14">
        <v>0.85</v>
      </c>
      <c r="AQ16" s="20" cm="1">
        <f t="array" ref="AQ16">CalculatePrice(AO16,$Q16,$R16,$V16,AN16,$S16)</f>
        <v>0.65</v>
      </c>
    </row>
    <row r="17" spans="1:43" x14ac:dyDescent="0.25">
      <c r="A17" s="1" t="s">
        <v>216</v>
      </c>
      <c r="B17" s="1">
        <v>2</v>
      </c>
      <c r="C17" s="1">
        <v>774061</v>
      </c>
      <c r="D17" s="1" t="s">
        <v>217</v>
      </c>
      <c r="E17" s="1" t="s">
        <v>216</v>
      </c>
      <c r="F17" s="1" t="s">
        <v>44</v>
      </c>
      <c r="G17" s="1" t="s">
        <v>45</v>
      </c>
      <c r="H17" s="1" t="s">
        <v>184</v>
      </c>
      <c r="I17" s="1" t="s">
        <v>446</v>
      </c>
      <c r="J17" s="1" t="s">
        <v>185</v>
      </c>
      <c r="K17" s="1" t="s">
        <v>447</v>
      </c>
      <c r="L17" s="1" t="s">
        <v>186</v>
      </c>
      <c r="M17" s="1" t="s">
        <v>448</v>
      </c>
      <c r="N17" s="1" t="s">
        <v>219</v>
      </c>
      <c r="O17" s="1" t="s">
        <v>217</v>
      </c>
      <c r="P17" s="1" t="s">
        <v>449</v>
      </c>
      <c r="Q17" s="1" t="s">
        <v>189</v>
      </c>
      <c r="R17" s="1" t="s">
        <v>46</v>
      </c>
      <c r="S17" s="19">
        <v>0</v>
      </c>
      <c r="T17" s="1">
        <v>7850</v>
      </c>
      <c r="V17" s="20" cm="1">
        <f t="array" ref="V17">CalculatePrice(T17,$Q17,$R17,$S17,0,$S17)</f>
        <v>0</v>
      </c>
      <c r="W17" s="1">
        <v>7800</v>
      </c>
      <c r="Y17" s="20" cm="1">
        <f t="array" ref="Y17">CalculatePrice(W17,$Q17,$R17,$V17,V17,$S17)</f>
        <v>0</v>
      </c>
      <c r="Z17" s="1">
        <v>7750</v>
      </c>
      <c r="AB17" s="20" cm="1">
        <f t="array" ref="AB17">CalculatePrice(Z17,$Q17,$R17,$V17,Y17,$S17)</f>
        <v>0</v>
      </c>
      <c r="AC17" s="1">
        <v>7700</v>
      </c>
      <c r="AE17" s="20" cm="1">
        <f t="array" ref="AE17">CalculatePrice(AC17,$Q17,$R17,$V17,AB17,$S17)</f>
        <v>0</v>
      </c>
      <c r="AF17" s="1">
        <v>7650</v>
      </c>
      <c r="AH17" s="20" cm="1">
        <f t="array" ref="AH17">CalculatePrice(AF17,$Q17,$R17,$V17,AE17,$S17)</f>
        <v>0</v>
      </c>
      <c r="AI17" s="1">
        <v>7651</v>
      </c>
      <c r="AK17" s="20" cm="1">
        <f t="array" ref="AK17">CalculatePrice(AI17,$Q17,$R17,$V17,AH17,$S17)</f>
        <v>0</v>
      </c>
      <c r="AL17" s="1">
        <v>7652</v>
      </c>
      <c r="AN17" s="20" cm="1">
        <f t="array" ref="AN17">CalculatePrice(AL17,$Q17,$R17,$V17,AK17,$S17)</f>
        <v>0</v>
      </c>
      <c r="AO17" s="1">
        <v>7649</v>
      </c>
      <c r="AQ17" s="20" cm="1">
        <f t="array" ref="AQ17">CalculatePrice(AO17,$Q17,$R17,$V17,AN17,$S17)</f>
        <v>0</v>
      </c>
    </row>
    <row r="18" spans="1:43" x14ac:dyDescent="0.25">
      <c r="A18" s="1" t="s">
        <v>119</v>
      </c>
      <c r="B18" s="1">
        <v>1</v>
      </c>
      <c r="C18" s="1">
        <v>506459</v>
      </c>
      <c r="D18" s="1" t="s">
        <v>120</v>
      </c>
      <c r="E18" s="1" t="s">
        <v>121</v>
      </c>
      <c r="F18" s="1" t="s">
        <v>47</v>
      </c>
      <c r="G18" s="1" t="s">
        <v>453</v>
      </c>
      <c r="H18" s="1" t="s">
        <v>48</v>
      </c>
      <c r="I18" s="1" t="s">
        <v>454</v>
      </c>
      <c r="J18" s="1" t="s">
        <v>69</v>
      </c>
      <c r="K18" s="1" t="s">
        <v>70</v>
      </c>
      <c r="L18" s="1" t="s">
        <v>122</v>
      </c>
      <c r="M18" s="1" t="s">
        <v>123</v>
      </c>
      <c r="N18" s="1" t="s">
        <v>124</v>
      </c>
      <c r="O18" s="1" t="s">
        <v>125</v>
      </c>
      <c r="P18" s="1" t="s">
        <v>449</v>
      </c>
      <c r="Q18" s="1" t="s">
        <v>60</v>
      </c>
      <c r="R18" s="1" t="s">
        <v>71</v>
      </c>
      <c r="S18" s="19">
        <v>0.99</v>
      </c>
      <c r="T18" s="1">
        <v>7850</v>
      </c>
      <c r="U18" s="14">
        <v>0.99</v>
      </c>
      <c r="V18" s="20" cm="1">
        <f t="array" ref="V18">CalculatePrice(T18,$Q18,$R18,$S18,0,$S18)</f>
        <v>0.99</v>
      </c>
      <c r="W18" s="1">
        <v>7800</v>
      </c>
      <c r="X18" s="14">
        <v>0.99</v>
      </c>
      <c r="Y18" s="20" cm="1">
        <f t="array" ref="Y18">CalculatePrice(W18,$Q18,$R18,$V18,V18,$S18)</f>
        <v>0.99</v>
      </c>
      <c r="Z18" s="1">
        <v>7750</v>
      </c>
      <c r="AA18" s="14">
        <v>0.99</v>
      </c>
      <c r="AB18" s="20" cm="1">
        <f t="array" ref="AB18">CalculatePrice(Z18,$Q18,$R18,$V18,Y18,$S18)</f>
        <v>0.99</v>
      </c>
      <c r="AC18" s="1">
        <v>7700</v>
      </c>
      <c r="AD18" s="14">
        <v>0.99</v>
      </c>
      <c r="AE18" s="20" cm="1">
        <f t="array" ref="AE18">CalculatePrice(AC18,$Q18,$R18,$V18,AB18,$S18)</f>
        <v>0.99</v>
      </c>
      <c r="AF18" s="1">
        <v>7650</v>
      </c>
      <c r="AG18" s="14">
        <v>1.1499999999999999</v>
      </c>
      <c r="AH18" s="20" cm="1">
        <f t="array" ref="AH18">CalculatePrice(AF18,$Q18,$R18,$V18,AE18,$S18)</f>
        <v>0.99</v>
      </c>
      <c r="AI18" s="1">
        <v>7651</v>
      </c>
      <c r="AJ18" s="14">
        <v>1.1499999999999999</v>
      </c>
      <c r="AK18" s="20" cm="1">
        <f t="array" ref="AK18">CalculatePrice(AI18,$Q18,$R18,$V18,AH18,$S18)</f>
        <v>0.99</v>
      </c>
      <c r="AL18" s="1">
        <v>7652</v>
      </c>
      <c r="AM18" s="14">
        <v>1.1499999999999999</v>
      </c>
      <c r="AN18" s="20" cm="1">
        <f t="array" ref="AN18">CalculatePrice(AL18,$Q18,$R18,$V18,AK18,$S18)</f>
        <v>0.99</v>
      </c>
      <c r="AO18" s="1">
        <v>7649</v>
      </c>
      <c r="AP18" s="14">
        <v>1.19</v>
      </c>
      <c r="AQ18" s="20" cm="1">
        <f t="array" ref="AQ18">CalculatePrice(AO18,$Q18,$R18,$V18,AN18,$S18)</f>
        <v>0.99</v>
      </c>
    </row>
    <row r="19" spans="1:43" x14ac:dyDescent="0.25">
      <c r="A19" s="1" t="s">
        <v>220</v>
      </c>
      <c r="B19" s="1">
        <v>1</v>
      </c>
      <c r="C19" s="1">
        <v>652979</v>
      </c>
      <c r="D19" s="1" t="s">
        <v>460</v>
      </c>
      <c r="E19" s="1" t="s">
        <v>221</v>
      </c>
      <c r="F19" s="1" t="s">
        <v>44</v>
      </c>
      <c r="G19" s="1" t="s">
        <v>45</v>
      </c>
      <c r="H19" s="1" t="s">
        <v>58</v>
      </c>
      <c r="I19" s="1" t="s">
        <v>59</v>
      </c>
      <c r="J19" s="1" t="s">
        <v>203</v>
      </c>
      <c r="K19" s="1" t="s">
        <v>204</v>
      </c>
      <c r="L19" s="1" t="s">
        <v>209</v>
      </c>
      <c r="M19" s="1" t="s">
        <v>456</v>
      </c>
      <c r="N19" s="1" t="s">
        <v>210</v>
      </c>
      <c r="O19" s="1" t="s">
        <v>456</v>
      </c>
      <c r="P19" s="1" t="s">
        <v>449</v>
      </c>
      <c r="Q19" s="1" t="s">
        <v>60</v>
      </c>
      <c r="R19" s="1" t="s">
        <v>46</v>
      </c>
      <c r="S19" s="19">
        <v>7.89</v>
      </c>
      <c r="T19" s="1">
        <v>7850</v>
      </c>
      <c r="U19" s="14">
        <v>7.89</v>
      </c>
      <c r="V19" s="20" cm="1">
        <f t="array" ref="V19">CalculatePrice(T19,$Q19,$R19,$S19,0,$S19)</f>
        <v>7.89</v>
      </c>
      <c r="W19" s="1">
        <v>7800</v>
      </c>
      <c r="X19" s="14">
        <v>7.89</v>
      </c>
      <c r="Y19" s="20" cm="1">
        <f t="array" ref="Y19">CalculatePrice(W19,$Q19,$R19,$V19,V19,$S19)</f>
        <v>7.89</v>
      </c>
      <c r="Z19" s="1">
        <v>7750</v>
      </c>
      <c r="AA19" s="14">
        <v>7.89</v>
      </c>
      <c r="AB19" s="20" cm="1">
        <f t="array" ref="AB19">CalculatePrice(Z19,$Q19,$R19,$V19,Y19,$S19)</f>
        <v>7.89</v>
      </c>
      <c r="AC19" s="1">
        <v>7700</v>
      </c>
      <c r="AD19" s="14">
        <v>7.89</v>
      </c>
      <c r="AE19" s="20" cm="1">
        <f t="array" ref="AE19">CalculatePrice(AC19,$Q19,$R19,$V19,AB19,$S19)</f>
        <v>7.89</v>
      </c>
      <c r="AF19" s="1">
        <v>7650</v>
      </c>
      <c r="AH19" s="20" cm="1">
        <f t="array" ref="AH19">CalculatePrice(AF19,$Q19,$R19,$V19,AE19,$S19)</f>
        <v>7.89</v>
      </c>
      <c r="AI19" s="1">
        <v>7651</v>
      </c>
      <c r="AK19" s="20" cm="1">
        <f t="array" ref="AK19">CalculatePrice(AI19,$Q19,$R19,$V19,AH19,$S19)</f>
        <v>7.89</v>
      </c>
      <c r="AL19" s="1">
        <v>7652</v>
      </c>
      <c r="AN19" s="20" cm="1">
        <f t="array" ref="AN19">CalculatePrice(AL19,$Q19,$R19,$V19,AK19,$S19)</f>
        <v>7.89</v>
      </c>
      <c r="AO19" s="1">
        <v>7649</v>
      </c>
      <c r="AP19" s="14">
        <v>7.89</v>
      </c>
      <c r="AQ19" s="20" cm="1">
        <f t="array" ref="AQ19">CalculatePrice(AO19,$Q19,$R19,$V19,AN19,$S19)</f>
        <v>7.89</v>
      </c>
    </row>
    <row r="20" spans="1:43" x14ac:dyDescent="0.25">
      <c r="A20" s="1" t="s">
        <v>126</v>
      </c>
      <c r="B20" s="1">
        <v>1</v>
      </c>
      <c r="C20" s="1">
        <v>506468</v>
      </c>
      <c r="D20" s="1" t="s">
        <v>127</v>
      </c>
      <c r="E20" s="1" t="s">
        <v>128</v>
      </c>
      <c r="F20" s="1" t="s">
        <v>47</v>
      </c>
      <c r="G20" s="1" t="s">
        <v>453</v>
      </c>
      <c r="H20" s="1" t="s">
        <v>48</v>
      </c>
      <c r="I20" s="1" t="s">
        <v>454</v>
      </c>
      <c r="J20" s="1" t="s">
        <v>72</v>
      </c>
      <c r="K20" s="1" t="s">
        <v>461</v>
      </c>
      <c r="L20" s="1" t="s">
        <v>73</v>
      </c>
      <c r="M20" s="1" t="s">
        <v>462</v>
      </c>
      <c r="N20" s="1" t="s">
        <v>129</v>
      </c>
      <c r="O20" s="1" t="s">
        <v>463</v>
      </c>
      <c r="P20" s="1" t="s">
        <v>449</v>
      </c>
      <c r="Q20" s="1" t="s">
        <v>60</v>
      </c>
      <c r="R20" s="1" t="s">
        <v>110</v>
      </c>
      <c r="S20" s="19">
        <v>2.19</v>
      </c>
      <c r="T20" s="1">
        <v>7850</v>
      </c>
      <c r="U20" s="14">
        <v>2.19</v>
      </c>
      <c r="V20" s="20" cm="1">
        <f t="array" ref="V20">CalculatePrice(T20,$Q20,$R20,$S20,0,$S20)</f>
        <v>2.19</v>
      </c>
      <c r="W20" s="1">
        <v>7800</v>
      </c>
      <c r="X20" s="14">
        <v>2.19</v>
      </c>
      <c r="Y20" s="20" cm="1">
        <f t="array" ref="Y20">CalculatePrice(W20,$Q20,$R20,$V20,V20,$S20)</f>
        <v>2.19</v>
      </c>
      <c r="Z20" s="1">
        <v>7750</v>
      </c>
      <c r="AA20" s="14">
        <v>2.19</v>
      </c>
      <c r="AB20" s="20" cm="1">
        <f t="array" ref="AB20">CalculatePrice(Z20,$Q20,$R20,$V20,Y20,$S20)</f>
        <v>2.19</v>
      </c>
      <c r="AC20" s="1">
        <v>7700</v>
      </c>
      <c r="AD20" s="14">
        <v>2.19</v>
      </c>
      <c r="AE20" s="20" cm="1">
        <f t="array" ref="AE20">CalculatePrice(AC20,$Q20,$R20,$V20,AB20,$S20)</f>
        <v>2.19</v>
      </c>
      <c r="AF20" s="1">
        <v>7650</v>
      </c>
      <c r="AG20" s="14">
        <v>2.19</v>
      </c>
      <c r="AH20" s="20" cm="1">
        <f t="array" ref="AH20">CalculatePrice(AF20,$Q20,$R20,$V20,AE20,$S20)</f>
        <v>2.19</v>
      </c>
      <c r="AI20" s="1">
        <v>7651</v>
      </c>
      <c r="AJ20" s="14">
        <v>2.19</v>
      </c>
      <c r="AK20" s="20" cm="1">
        <f t="array" ref="AK20">CalculatePrice(AI20,$Q20,$R20,$V20,AH20,$S20)</f>
        <v>2.19</v>
      </c>
      <c r="AL20" s="1">
        <v>7652</v>
      </c>
      <c r="AM20" s="14">
        <v>2.19</v>
      </c>
      <c r="AN20" s="20" cm="1">
        <f t="array" ref="AN20">CalculatePrice(AL20,$Q20,$R20,$V20,AK20,$S20)</f>
        <v>2.19</v>
      </c>
      <c r="AO20" s="1">
        <v>7649</v>
      </c>
      <c r="AP20" s="14">
        <v>2.19</v>
      </c>
      <c r="AQ20" s="20" cm="1">
        <f t="array" ref="AQ20">CalculatePrice(AO20,$Q20,$R20,$V20,AN20,$S20)</f>
        <v>2.19</v>
      </c>
    </row>
    <row r="21" spans="1:43" x14ac:dyDescent="0.25">
      <c r="A21" s="1" t="s">
        <v>222</v>
      </c>
      <c r="B21" s="1">
        <v>1</v>
      </c>
      <c r="C21" s="1">
        <v>506477</v>
      </c>
      <c r="D21" s="1" t="s">
        <v>464</v>
      </c>
      <c r="E21" s="1" t="s">
        <v>223</v>
      </c>
      <c r="F21" s="1" t="s">
        <v>44</v>
      </c>
      <c r="G21" s="1" t="s">
        <v>45</v>
      </c>
      <c r="H21" s="1" t="s">
        <v>58</v>
      </c>
      <c r="I21" s="1" t="s">
        <v>59</v>
      </c>
      <c r="J21" s="1" t="s">
        <v>130</v>
      </c>
      <c r="K21" s="1" t="s">
        <v>131</v>
      </c>
      <c r="L21" s="1" t="s">
        <v>132</v>
      </c>
      <c r="M21" s="1" t="s">
        <v>465</v>
      </c>
      <c r="N21" s="1" t="s">
        <v>133</v>
      </c>
      <c r="O21" s="1" t="s">
        <v>466</v>
      </c>
      <c r="P21" s="1" t="s">
        <v>449</v>
      </c>
      <c r="Q21" s="1" t="s">
        <v>46</v>
      </c>
      <c r="R21" s="1" t="s">
        <v>46</v>
      </c>
      <c r="S21" s="19">
        <v>12.59</v>
      </c>
      <c r="T21" s="1">
        <v>7850</v>
      </c>
      <c r="U21" s="14">
        <v>12.59</v>
      </c>
      <c r="W21" s="1">
        <v>7800</v>
      </c>
      <c r="X21" s="14">
        <v>13.49</v>
      </c>
      <c r="Z21" s="1">
        <v>7750</v>
      </c>
      <c r="AA21" s="14">
        <v>13.99</v>
      </c>
      <c r="AC21" s="1">
        <v>7700</v>
      </c>
      <c r="AD21" s="14">
        <v>13.99</v>
      </c>
      <c r="AF21" s="1">
        <v>7650</v>
      </c>
      <c r="AG21" s="14">
        <v>13.99</v>
      </c>
      <c r="AI21" s="1">
        <v>7651</v>
      </c>
      <c r="AJ21" s="14">
        <v>14.49</v>
      </c>
      <c r="AL21" s="1">
        <v>7652</v>
      </c>
      <c r="AM21" s="14">
        <v>14.49</v>
      </c>
      <c r="AO21" s="1">
        <v>7649</v>
      </c>
      <c r="AP21" s="14">
        <v>14.99</v>
      </c>
    </row>
    <row r="22" spans="1:43" x14ac:dyDescent="0.25">
      <c r="A22" s="1" t="s">
        <v>224</v>
      </c>
      <c r="B22" s="1">
        <v>1</v>
      </c>
      <c r="C22" s="1">
        <v>652982</v>
      </c>
      <c r="D22" s="1" t="s">
        <v>467</v>
      </c>
      <c r="E22" s="1" t="s">
        <v>225</v>
      </c>
      <c r="F22" s="1" t="s">
        <v>44</v>
      </c>
      <c r="G22" s="1" t="s">
        <v>45</v>
      </c>
      <c r="H22" s="1" t="s">
        <v>58</v>
      </c>
      <c r="I22" s="1" t="s">
        <v>59</v>
      </c>
      <c r="J22" s="1" t="s">
        <v>203</v>
      </c>
      <c r="K22" s="1" t="s">
        <v>204</v>
      </c>
      <c r="L22" s="1" t="s">
        <v>209</v>
      </c>
      <c r="M22" s="1" t="s">
        <v>456</v>
      </c>
      <c r="N22" s="1" t="s">
        <v>210</v>
      </c>
      <c r="O22" s="1" t="s">
        <v>456</v>
      </c>
      <c r="P22" s="1" t="s">
        <v>449</v>
      </c>
      <c r="Q22" s="1" t="s">
        <v>60</v>
      </c>
      <c r="R22" s="1" t="s">
        <v>46</v>
      </c>
      <c r="S22" s="19">
        <v>7.89</v>
      </c>
      <c r="T22" s="1">
        <v>7850</v>
      </c>
      <c r="U22" s="14">
        <v>7.89</v>
      </c>
      <c r="V22" s="20" cm="1">
        <f t="array" ref="V22">CalculatePrice(T22,$Q22,$R22,$S22,0,$S22)</f>
        <v>7.89</v>
      </c>
      <c r="W22" s="1">
        <v>7800</v>
      </c>
      <c r="X22" s="14">
        <v>7.89</v>
      </c>
      <c r="Y22" s="20" cm="1">
        <f t="array" ref="Y22">CalculatePrice(W22,$Q22,$R22,$V22,V22,$S22)</f>
        <v>7.89</v>
      </c>
      <c r="Z22" s="1">
        <v>7750</v>
      </c>
      <c r="AA22" s="14">
        <v>7.89</v>
      </c>
      <c r="AB22" s="20" cm="1">
        <f t="array" ref="AB22">CalculatePrice(Z22,$Q22,$R22,$V22,Y22,$S22)</f>
        <v>7.89</v>
      </c>
      <c r="AC22" s="1">
        <v>7700</v>
      </c>
      <c r="AD22" s="14">
        <v>7.89</v>
      </c>
      <c r="AE22" s="20" cm="1">
        <f t="array" ref="AE22">CalculatePrice(AC22,$Q22,$R22,$V22,AB22,$S22)</f>
        <v>7.89</v>
      </c>
      <c r="AF22" s="1">
        <v>7650</v>
      </c>
      <c r="AH22" s="20" cm="1">
        <f t="array" ref="AH22">CalculatePrice(AF22,$Q22,$R22,$V22,AE22,$S22)</f>
        <v>7.89</v>
      </c>
      <c r="AI22" s="1">
        <v>7651</v>
      </c>
      <c r="AK22" s="20" cm="1">
        <f t="array" ref="AK22">CalculatePrice(AI22,$Q22,$R22,$V22,AH22,$S22)</f>
        <v>7.89</v>
      </c>
      <c r="AL22" s="1">
        <v>7652</v>
      </c>
      <c r="AN22" s="20" cm="1">
        <f t="array" ref="AN22">CalculatePrice(AL22,$Q22,$R22,$V22,AK22,$S22)</f>
        <v>7.89</v>
      </c>
      <c r="AO22" s="1">
        <v>7649</v>
      </c>
      <c r="AP22" s="14">
        <v>7.89</v>
      </c>
      <c r="AQ22" s="20" cm="1">
        <f t="array" ref="AQ22">CalculatePrice(AO22,$Q22,$R22,$V22,AN22,$S22)</f>
        <v>7.89</v>
      </c>
    </row>
    <row r="23" spans="1:43" x14ac:dyDescent="0.25">
      <c r="A23" s="1" t="s">
        <v>226</v>
      </c>
      <c r="B23" s="1">
        <v>1</v>
      </c>
      <c r="C23" s="1">
        <v>506486</v>
      </c>
      <c r="D23" s="1" t="s">
        <v>227</v>
      </c>
      <c r="E23" s="1" t="s">
        <v>228</v>
      </c>
      <c r="F23" s="1" t="s">
        <v>44</v>
      </c>
      <c r="G23" s="1" t="s">
        <v>45</v>
      </c>
      <c r="H23" s="1" t="s">
        <v>58</v>
      </c>
      <c r="I23" s="1" t="s">
        <v>59</v>
      </c>
      <c r="J23" s="1" t="s">
        <v>203</v>
      </c>
      <c r="K23" s="1" t="s">
        <v>204</v>
      </c>
      <c r="L23" s="1" t="s">
        <v>229</v>
      </c>
      <c r="M23" s="1" t="s">
        <v>230</v>
      </c>
      <c r="N23" s="1" t="s">
        <v>231</v>
      </c>
      <c r="O23" s="1" t="s">
        <v>230</v>
      </c>
      <c r="P23" s="1" t="s">
        <v>449</v>
      </c>
      <c r="Q23" s="1" t="s">
        <v>60</v>
      </c>
      <c r="R23" s="1" t="s">
        <v>46</v>
      </c>
      <c r="S23" s="19">
        <v>5.59</v>
      </c>
      <c r="T23" s="1">
        <v>7850</v>
      </c>
      <c r="U23" s="14">
        <v>5.59</v>
      </c>
      <c r="V23" s="20" cm="1">
        <f t="array" ref="V23">CalculatePrice(T23,$Q23,$R23,$S23,0,$S23)</f>
        <v>5.59</v>
      </c>
      <c r="W23" s="1">
        <v>7800</v>
      </c>
      <c r="X23" s="14">
        <v>5.59</v>
      </c>
      <c r="Y23" s="20" cm="1">
        <f t="array" ref="Y23">CalculatePrice(W23,$Q23,$R23,$V23,V23,$S23)</f>
        <v>5.59</v>
      </c>
      <c r="Z23" s="1">
        <v>7750</v>
      </c>
      <c r="AA23" s="14">
        <v>5.59</v>
      </c>
      <c r="AB23" s="20" cm="1">
        <f t="array" ref="AB23">CalculatePrice(Z23,$Q23,$R23,$V23,Y23,$S23)</f>
        <v>5.59</v>
      </c>
      <c r="AC23" s="1">
        <v>7700</v>
      </c>
      <c r="AD23" s="14">
        <v>5.59</v>
      </c>
      <c r="AE23" s="20" cm="1">
        <f t="array" ref="AE23">CalculatePrice(AC23,$Q23,$R23,$V23,AB23,$S23)</f>
        <v>5.59</v>
      </c>
      <c r="AF23" s="1">
        <v>7650</v>
      </c>
      <c r="AH23" s="20" cm="1">
        <f t="array" ref="AH23">CalculatePrice(AF23,$Q23,$R23,$V23,AE23,$S23)</f>
        <v>5.59</v>
      </c>
      <c r="AI23" s="1">
        <v>7651</v>
      </c>
      <c r="AK23" s="20" cm="1">
        <f t="array" ref="AK23">CalculatePrice(AI23,$Q23,$R23,$V23,AH23,$S23)</f>
        <v>5.59</v>
      </c>
      <c r="AL23" s="1">
        <v>7652</v>
      </c>
      <c r="AN23" s="20" cm="1">
        <f t="array" ref="AN23">CalculatePrice(AL23,$Q23,$R23,$V23,AK23,$S23)</f>
        <v>5.59</v>
      </c>
      <c r="AO23" s="1">
        <v>7649</v>
      </c>
      <c r="AP23" s="14">
        <v>5.59</v>
      </c>
      <c r="AQ23" s="20" cm="1">
        <f t="array" ref="AQ23">CalculatePrice(AO23,$Q23,$R23,$V23,AN23,$S23)</f>
        <v>5.59</v>
      </c>
    </row>
    <row r="24" spans="1:43" x14ac:dyDescent="0.25">
      <c r="A24" s="1" t="s">
        <v>134</v>
      </c>
      <c r="B24" s="1">
        <v>1</v>
      </c>
      <c r="C24" s="1">
        <v>506489</v>
      </c>
      <c r="D24" s="1" t="s">
        <v>135</v>
      </c>
      <c r="E24" s="1" t="s">
        <v>136</v>
      </c>
      <c r="F24" s="1" t="s">
        <v>47</v>
      </c>
      <c r="G24" s="1" t="s">
        <v>453</v>
      </c>
      <c r="H24" s="1" t="s">
        <v>48</v>
      </c>
      <c r="I24" s="1" t="s">
        <v>454</v>
      </c>
      <c r="J24" s="1" t="s">
        <v>69</v>
      </c>
      <c r="K24" s="1" t="s">
        <v>70</v>
      </c>
      <c r="L24" s="1" t="s">
        <v>74</v>
      </c>
      <c r="M24" s="1" t="s">
        <v>75</v>
      </c>
      <c r="N24" s="1" t="s">
        <v>76</v>
      </c>
      <c r="O24" s="1" t="s">
        <v>77</v>
      </c>
      <c r="P24" s="1" t="s">
        <v>449</v>
      </c>
      <c r="Q24" s="1" t="s">
        <v>60</v>
      </c>
      <c r="R24" s="1" t="s">
        <v>71</v>
      </c>
      <c r="S24" s="19">
        <v>0.93</v>
      </c>
      <c r="T24" s="1">
        <v>7850</v>
      </c>
      <c r="U24" s="14">
        <v>0.93</v>
      </c>
      <c r="V24" s="20" cm="1">
        <f t="array" ref="V24">CalculatePrice(T24,$Q24,$R24,$S24,0,$S24)</f>
        <v>0.93</v>
      </c>
      <c r="W24" s="1">
        <v>7800</v>
      </c>
      <c r="X24" s="14">
        <v>0.93</v>
      </c>
      <c r="Y24" s="20" cm="1">
        <f t="array" ref="Y24">CalculatePrice(W24,$Q24,$R24,$V24,V24,$S24)</f>
        <v>0.93</v>
      </c>
      <c r="Z24" s="1">
        <v>7750</v>
      </c>
      <c r="AA24" s="14">
        <v>0.93</v>
      </c>
      <c r="AB24" s="20" cm="1">
        <f t="array" ref="AB24">CalculatePrice(Z24,$Q24,$R24,$V24,Y24,$S24)</f>
        <v>0.93</v>
      </c>
      <c r="AC24" s="1">
        <v>7700</v>
      </c>
      <c r="AD24" s="14">
        <v>0.93</v>
      </c>
      <c r="AE24" s="20" cm="1">
        <f t="array" ref="AE24">CalculatePrice(AC24,$Q24,$R24,$V24,AB24,$S24)</f>
        <v>0.93</v>
      </c>
      <c r="AF24" s="1">
        <v>7650</v>
      </c>
      <c r="AG24" s="14">
        <v>1.0900000000000001</v>
      </c>
      <c r="AH24" s="20" cm="1">
        <f t="array" ref="AH24">CalculatePrice(AF24,$Q24,$R24,$V24,AE24,$S24)</f>
        <v>0.93</v>
      </c>
      <c r="AI24" s="1">
        <v>7651</v>
      </c>
      <c r="AJ24" s="14">
        <v>1.0900000000000001</v>
      </c>
      <c r="AK24" s="20" cm="1">
        <f t="array" ref="AK24">CalculatePrice(AI24,$Q24,$R24,$V24,AH24,$S24)</f>
        <v>0.93</v>
      </c>
      <c r="AL24" s="1">
        <v>7652</v>
      </c>
      <c r="AM24" s="14">
        <v>1.0900000000000001</v>
      </c>
      <c r="AN24" s="20" cm="1">
        <f t="array" ref="AN24">CalculatePrice(AL24,$Q24,$R24,$V24,AK24,$S24)</f>
        <v>0.93</v>
      </c>
      <c r="AO24" s="1">
        <v>7649</v>
      </c>
      <c r="AP24" s="14">
        <v>1.1499999999999999</v>
      </c>
      <c r="AQ24" s="20" cm="1">
        <f t="array" ref="AQ24">CalculatePrice(AO24,$Q24,$R24,$V24,AN24,$S24)</f>
        <v>0.93</v>
      </c>
    </row>
    <row r="25" spans="1:43" x14ac:dyDescent="0.25">
      <c r="A25" s="1" t="s">
        <v>232</v>
      </c>
      <c r="B25" s="1">
        <v>1</v>
      </c>
      <c r="C25" s="1">
        <v>506498</v>
      </c>
      <c r="D25" s="1" t="s">
        <v>233</v>
      </c>
      <c r="E25" s="1" t="s">
        <v>234</v>
      </c>
      <c r="F25" s="1" t="s">
        <v>53</v>
      </c>
      <c r="G25" s="1" t="s">
        <v>54</v>
      </c>
      <c r="H25" s="1" t="s">
        <v>55</v>
      </c>
      <c r="I25" s="1" t="s">
        <v>56</v>
      </c>
      <c r="J25" s="1" t="s">
        <v>193</v>
      </c>
      <c r="K25" s="1" t="s">
        <v>194</v>
      </c>
      <c r="L25" s="1" t="s">
        <v>195</v>
      </c>
      <c r="M25" s="1" t="s">
        <v>196</v>
      </c>
      <c r="N25" s="1" t="s">
        <v>197</v>
      </c>
      <c r="O25" s="1" t="s">
        <v>198</v>
      </c>
      <c r="P25" s="1" t="s">
        <v>449</v>
      </c>
      <c r="Q25" s="1" t="s">
        <v>57</v>
      </c>
      <c r="R25" s="1" t="s">
        <v>46</v>
      </c>
      <c r="S25" s="19">
        <v>4.0999999999999996</v>
      </c>
      <c r="T25" s="1">
        <v>7850</v>
      </c>
      <c r="U25" s="14">
        <v>4.0999999999999996</v>
      </c>
      <c r="V25" s="20" cm="1">
        <f t="array" ref="V25">CalculatePrice(T25,$Q25,$R25,$S25,0,$S25)</f>
        <v>4.0999999999999996</v>
      </c>
      <c r="W25" s="1">
        <v>7800</v>
      </c>
      <c r="X25" s="14">
        <v>4.0999999999999996</v>
      </c>
      <c r="Y25" s="20" cm="1">
        <f t="array" ref="Y25">CalculatePrice(W25,$Q25,$R25,$V25,V25,$S25)</f>
        <v>4.0999999999999996</v>
      </c>
      <c r="Z25" s="1">
        <v>7750</v>
      </c>
      <c r="AA25" s="14">
        <v>4.0999999999999996</v>
      </c>
      <c r="AB25" s="20" cm="1">
        <f t="array" ref="AB25">CalculatePrice(Z25,$Q25,$R25,$V25,Y25,$S25)</f>
        <v>4.0999999999999996</v>
      </c>
      <c r="AC25" s="1">
        <v>7700</v>
      </c>
      <c r="AD25" s="14">
        <v>4.0999999999999996</v>
      </c>
      <c r="AE25" s="20" cm="1">
        <f t="array" ref="AE25">CalculatePrice(AC25,$Q25,$R25,$V25,AB25,$S25)</f>
        <v>4.0999999999999996</v>
      </c>
      <c r="AF25" s="1">
        <v>7650</v>
      </c>
      <c r="AH25" s="20" cm="1">
        <f t="array" ref="AH25">CalculatePrice(AF25,$Q25,$R25,$V25,AE25,$S25)</f>
        <v>4.0999999999999996</v>
      </c>
      <c r="AI25" s="1">
        <v>7651</v>
      </c>
      <c r="AK25" s="20" cm="1">
        <f t="array" ref="AK25">CalculatePrice(AI25,$Q25,$R25,$V25,AH25,$S25)</f>
        <v>4.0999999999999996</v>
      </c>
      <c r="AL25" s="1">
        <v>7652</v>
      </c>
      <c r="AN25" s="20" cm="1">
        <f t="array" ref="AN25">CalculatePrice(AL25,$Q25,$R25,$V25,AK25,$S25)</f>
        <v>4.0999999999999996</v>
      </c>
      <c r="AO25" s="1">
        <v>7649</v>
      </c>
      <c r="AP25" s="14">
        <v>4.0999999999999996</v>
      </c>
      <c r="AQ25" s="20" cm="1">
        <f t="array" ref="AQ25">CalculatePrice(AO25,$Q25,$R25,$V25,AN25,$S25)</f>
        <v>4.0999999999999996</v>
      </c>
    </row>
    <row r="26" spans="1:43" x14ac:dyDescent="0.25">
      <c r="A26" s="1" t="s">
        <v>232</v>
      </c>
      <c r="B26" s="1">
        <v>2</v>
      </c>
      <c r="C26" s="1">
        <v>701690</v>
      </c>
      <c r="D26" s="1" t="s">
        <v>235</v>
      </c>
      <c r="E26" s="1" t="s">
        <v>236</v>
      </c>
      <c r="F26" s="1" t="s">
        <v>53</v>
      </c>
      <c r="G26" s="1" t="s">
        <v>54</v>
      </c>
      <c r="H26" s="1" t="s">
        <v>55</v>
      </c>
      <c r="I26" s="1" t="s">
        <v>56</v>
      </c>
      <c r="J26" s="1" t="s">
        <v>193</v>
      </c>
      <c r="K26" s="1" t="s">
        <v>194</v>
      </c>
      <c r="L26" s="1" t="s">
        <v>195</v>
      </c>
      <c r="M26" s="1" t="s">
        <v>196</v>
      </c>
      <c r="N26" s="1" t="s">
        <v>197</v>
      </c>
      <c r="O26" s="1" t="s">
        <v>198</v>
      </c>
      <c r="P26" s="1" t="s">
        <v>449</v>
      </c>
      <c r="Q26" s="1" t="s">
        <v>46</v>
      </c>
      <c r="R26" s="1" t="s">
        <v>46</v>
      </c>
      <c r="S26" s="19">
        <v>0</v>
      </c>
      <c r="T26" s="1">
        <v>7850</v>
      </c>
      <c r="W26" s="1">
        <v>7800</v>
      </c>
      <c r="Z26" s="1">
        <v>7750</v>
      </c>
      <c r="AC26" s="1">
        <v>7700</v>
      </c>
      <c r="AF26" s="1">
        <v>7650</v>
      </c>
      <c r="AI26" s="1">
        <v>7651</v>
      </c>
      <c r="AL26" s="1">
        <v>7652</v>
      </c>
      <c r="AO26" s="1">
        <v>7649</v>
      </c>
    </row>
    <row r="27" spans="1:43" x14ac:dyDescent="0.25">
      <c r="A27" s="1" t="s">
        <v>237</v>
      </c>
      <c r="B27" s="1">
        <v>1</v>
      </c>
      <c r="C27" s="1">
        <v>506509</v>
      </c>
      <c r="D27" s="1" t="s">
        <v>468</v>
      </c>
      <c r="E27" s="1" t="s">
        <v>238</v>
      </c>
      <c r="F27" s="1" t="s">
        <v>44</v>
      </c>
      <c r="G27" s="1" t="s">
        <v>45</v>
      </c>
      <c r="H27" s="1" t="s">
        <v>184</v>
      </c>
      <c r="I27" s="1" t="s">
        <v>446</v>
      </c>
      <c r="J27" s="1" t="s">
        <v>239</v>
      </c>
      <c r="K27" s="1" t="s">
        <v>469</v>
      </c>
      <c r="L27" s="1" t="s">
        <v>240</v>
      </c>
      <c r="M27" s="1" t="s">
        <v>470</v>
      </c>
      <c r="N27" s="1" t="s">
        <v>241</v>
      </c>
      <c r="O27" s="1" t="s">
        <v>471</v>
      </c>
      <c r="P27" s="1" t="s">
        <v>449</v>
      </c>
      <c r="Q27" s="1" t="s">
        <v>189</v>
      </c>
      <c r="R27" s="1" t="s">
        <v>46</v>
      </c>
      <c r="S27" s="19">
        <v>1.99</v>
      </c>
      <c r="T27" s="1">
        <v>7850</v>
      </c>
      <c r="U27" s="14">
        <v>1.99</v>
      </c>
      <c r="V27" s="20" cm="1">
        <f t="array" ref="V27">CalculatePrice(T27,$Q27,$R27,$S27,0,$S27)</f>
        <v>1.99</v>
      </c>
      <c r="W27" s="1">
        <v>7800</v>
      </c>
      <c r="X27" s="14">
        <v>1.99</v>
      </c>
      <c r="Y27" s="20" cm="1">
        <f t="array" ref="Y27">CalculatePrice(W27,$Q27,$R27,$V27,V27,$S27)</f>
        <v>1.99</v>
      </c>
      <c r="Z27" s="1">
        <v>7750</v>
      </c>
      <c r="AA27" s="14">
        <v>1.99</v>
      </c>
      <c r="AB27" s="20" cm="1">
        <f t="array" ref="AB27">CalculatePrice(Z27,$Q27,$R27,$V27,Y27,$S27)</f>
        <v>1.99</v>
      </c>
      <c r="AC27" s="1">
        <v>7700</v>
      </c>
      <c r="AD27" s="14">
        <v>1.99</v>
      </c>
      <c r="AE27" s="20" cm="1">
        <f t="array" ref="AE27">CalculatePrice(AC27,$Q27,$R27,$V27,AB27,$S27)</f>
        <v>1.99</v>
      </c>
      <c r="AF27" s="1">
        <v>7650</v>
      </c>
      <c r="AG27" s="14">
        <v>1.99</v>
      </c>
      <c r="AH27" s="20" cm="1">
        <f t="array" ref="AH27">CalculatePrice(AF27,$Q27,$R27,$V27,AE27,$S27)</f>
        <v>1.99</v>
      </c>
      <c r="AI27" s="1">
        <v>7651</v>
      </c>
      <c r="AJ27" s="14">
        <v>1.99</v>
      </c>
      <c r="AK27" s="20" cm="1">
        <f t="array" ref="AK27">CalculatePrice(AI27,$Q27,$R27,$V27,AH27,$S27)</f>
        <v>1.99</v>
      </c>
      <c r="AL27" s="1">
        <v>7652</v>
      </c>
      <c r="AM27" s="14">
        <v>1.99</v>
      </c>
      <c r="AN27" s="20" cm="1">
        <f t="array" ref="AN27">CalculatePrice(AL27,$Q27,$R27,$V27,AK27,$S27)</f>
        <v>1.99</v>
      </c>
      <c r="AO27" s="1">
        <v>7649</v>
      </c>
      <c r="AP27" s="14">
        <v>1.99</v>
      </c>
      <c r="AQ27" s="20" cm="1">
        <f t="array" ref="AQ27">CalculatePrice(AO27,$Q27,$R27,$V27,AN27,$S27)</f>
        <v>1.99</v>
      </c>
    </row>
    <row r="28" spans="1:43" x14ac:dyDescent="0.25">
      <c r="A28" s="1" t="s">
        <v>242</v>
      </c>
      <c r="B28" s="1">
        <v>1</v>
      </c>
      <c r="C28" s="1">
        <v>506514</v>
      </c>
      <c r="D28" s="1" t="s">
        <v>243</v>
      </c>
      <c r="E28" s="1" t="s">
        <v>244</v>
      </c>
      <c r="F28" s="1" t="s">
        <v>53</v>
      </c>
      <c r="G28" s="1" t="s">
        <v>54</v>
      </c>
      <c r="H28" s="1" t="s">
        <v>55</v>
      </c>
      <c r="I28" s="1" t="s">
        <v>56</v>
      </c>
      <c r="J28" s="1" t="s">
        <v>193</v>
      </c>
      <c r="K28" s="1" t="s">
        <v>194</v>
      </c>
      <c r="L28" s="1" t="s">
        <v>195</v>
      </c>
      <c r="M28" s="1" t="s">
        <v>196</v>
      </c>
      <c r="N28" s="1" t="s">
        <v>197</v>
      </c>
      <c r="O28" s="1" t="s">
        <v>198</v>
      </c>
      <c r="P28" s="1" t="s">
        <v>449</v>
      </c>
      <c r="Q28" s="1" t="s">
        <v>57</v>
      </c>
      <c r="R28" s="1" t="s">
        <v>46</v>
      </c>
      <c r="S28" s="19">
        <v>4.5999999999999996</v>
      </c>
      <c r="T28" s="1">
        <v>7850</v>
      </c>
      <c r="U28" s="14">
        <v>4.5999999999999996</v>
      </c>
      <c r="V28" s="20" cm="1">
        <f t="array" ref="V28">CalculatePrice(T28,$Q28,$R28,$S28,0,$S28)</f>
        <v>4.5999999999999996</v>
      </c>
      <c r="W28" s="1">
        <v>7800</v>
      </c>
      <c r="X28" s="14">
        <v>4.5999999999999996</v>
      </c>
      <c r="Y28" s="20" cm="1">
        <f t="array" ref="Y28">CalculatePrice(W28,$Q28,$R28,$V28,V28,$S28)</f>
        <v>4.5999999999999996</v>
      </c>
      <c r="Z28" s="1">
        <v>7750</v>
      </c>
      <c r="AA28" s="14">
        <v>4.5999999999999996</v>
      </c>
      <c r="AB28" s="20" cm="1">
        <f t="array" ref="AB28">CalculatePrice(Z28,$Q28,$R28,$V28,Y28,$S28)</f>
        <v>4.5999999999999996</v>
      </c>
      <c r="AC28" s="1">
        <v>7700</v>
      </c>
      <c r="AD28" s="14">
        <v>4.5999999999999996</v>
      </c>
      <c r="AE28" s="20" cm="1">
        <f t="array" ref="AE28">CalculatePrice(AC28,$Q28,$R28,$V28,AB28,$S28)</f>
        <v>4.5999999999999996</v>
      </c>
      <c r="AF28" s="1">
        <v>7650</v>
      </c>
      <c r="AH28" s="20" cm="1">
        <f t="array" ref="AH28">CalculatePrice(AF28,$Q28,$R28,$V28,AE28,$S28)</f>
        <v>4.5999999999999996</v>
      </c>
      <c r="AI28" s="1">
        <v>7651</v>
      </c>
      <c r="AK28" s="20" cm="1">
        <f t="array" ref="AK28">CalculatePrice(AI28,$Q28,$R28,$V28,AH28,$S28)</f>
        <v>4.5999999999999996</v>
      </c>
      <c r="AL28" s="1">
        <v>7652</v>
      </c>
      <c r="AN28" s="20" cm="1">
        <f t="array" ref="AN28">CalculatePrice(AL28,$Q28,$R28,$V28,AK28,$S28)</f>
        <v>4.5999999999999996</v>
      </c>
      <c r="AO28" s="1">
        <v>7649</v>
      </c>
      <c r="AP28" s="14">
        <v>4.5999999999999996</v>
      </c>
      <c r="AQ28" s="20" cm="1">
        <f t="array" ref="AQ28">CalculatePrice(AO28,$Q28,$R28,$V28,AN28,$S28)</f>
        <v>4.5999999999999996</v>
      </c>
    </row>
    <row r="29" spans="1:43" x14ac:dyDescent="0.25">
      <c r="A29" s="1" t="s">
        <v>242</v>
      </c>
      <c r="B29" s="1">
        <v>2</v>
      </c>
      <c r="C29" s="1">
        <v>701519</v>
      </c>
      <c r="D29" s="1" t="s">
        <v>245</v>
      </c>
      <c r="E29" s="1" t="s">
        <v>246</v>
      </c>
      <c r="F29" s="1" t="s">
        <v>53</v>
      </c>
      <c r="G29" s="1" t="s">
        <v>54</v>
      </c>
      <c r="H29" s="1" t="s">
        <v>55</v>
      </c>
      <c r="I29" s="1" t="s">
        <v>56</v>
      </c>
      <c r="J29" s="1" t="s">
        <v>193</v>
      </c>
      <c r="K29" s="1" t="s">
        <v>194</v>
      </c>
      <c r="L29" s="1" t="s">
        <v>195</v>
      </c>
      <c r="M29" s="1" t="s">
        <v>196</v>
      </c>
      <c r="N29" s="1" t="s">
        <v>197</v>
      </c>
      <c r="O29" s="1" t="s">
        <v>198</v>
      </c>
      <c r="P29" s="1" t="s">
        <v>449</v>
      </c>
      <c r="Q29" s="1" t="s">
        <v>46</v>
      </c>
      <c r="R29" s="1" t="s">
        <v>46</v>
      </c>
      <c r="S29" s="19">
        <v>0</v>
      </c>
      <c r="T29" s="1">
        <v>7850</v>
      </c>
      <c r="W29" s="1">
        <v>7800</v>
      </c>
      <c r="Z29" s="1">
        <v>7750</v>
      </c>
      <c r="AC29" s="1">
        <v>7700</v>
      </c>
      <c r="AF29" s="1">
        <v>7650</v>
      </c>
      <c r="AI29" s="1">
        <v>7651</v>
      </c>
      <c r="AL29" s="1">
        <v>7652</v>
      </c>
      <c r="AO29" s="1">
        <v>7649</v>
      </c>
    </row>
    <row r="30" spans="1:43" x14ac:dyDescent="0.25">
      <c r="A30" s="1" t="s">
        <v>247</v>
      </c>
      <c r="B30" s="1">
        <v>1</v>
      </c>
      <c r="C30" s="1">
        <v>684400</v>
      </c>
      <c r="D30" s="1" t="s">
        <v>472</v>
      </c>
      <c r="E30" s="1" t="s">
        <v>248</v>
      </c>
      <c r="F30" s="1" t="s">
        <v>44</v>
      </c>
      <c r="G30" s="1" t="s">
        <v>45</v>
      </c>
      <c r="H30" s="1" t="s">
        <v>58</v>
      </c>
      <c r="I30" s="1" t="s">
        <v>59</v>
      </c>
      <c r="J30" s="1" t="s">
        <v>203</v>
      </c>
      <c r="K30" s="1" t="s">
        <v>204</v>
      </c>
      <c r="L30" s="1" t="s">
        <v>249</v>
      </c>
      <c r="M30" s="1" t="s">
        <v>250</v>
      </c>
      <c r="N30" s="1" t="s">
        <v>251</v>
      </c>
      <c r="O30" s="1" t="s">
        <v>250</v>
      </c>
      <c r="P30" s="1" t="s">
        <v>449</v>
      </c>
      <c r="Q30" s="1" t="s">
        <v>60</v>
      </c>
      <c r="R30" s="1" t="s">
        <v>46</v>
      </c>
      <c r="S30" s="19">
        <v>7.69</v>
      </c>
      <c r="T30" s="1">
        <v>7850</v>
      </c>
      <c r="U30" s="14">
        <v>7.69</v>
      </c>
      <c r="V30" s="20" cm="1">
        <f t="array" ref="V30">CalculatePrice(T30,$Q30,$R30,$S30,0,$S30)</f>
        <v>7.69</v>
      </c>
      <c r="W30" s="1">
        <v>7800</v>
      </c>
      <c r="X30" s="14">
        <v>7.69</v>
      </c>
      <c r="Y30" s="20" cm="1">
        <f t="array" ref="Y30">CalculatePrice(W30,$Q30,$R30,$V30,V30,$S30)</f>
        <v>7.69</v>
      </c>
      <c r="Z30" s="1">
        <v>7750</v>
      </c>
      <c r="AA30" s="14">
        <v>7.69</v>
      </c>
      <c r="AB30" s="20" cm="1">
        <f t="array" ref="AB30">CalculatePrice(Z30,$Q30,$R30,$V30,Y30,$S30)</f>
        <v>7.69</v>
      </c>
      <c r="AC30" s="1">
        <v>7700</v>
      </c>
      <c r="AD30" s="14">
        <v>7.69</v>
      </c>
      <c r="AE30" s="20" cm="1">
        <f t="array" ref="AE30">CalculatePrice(AC30,$Q30,$R30,$V30,AB30,$S30)</f>
        <v>7.69</v>
      </c>
      <c r="AF30" s="1">
        <v>7650</v>
      </c>
      <c r="AH30" s="20" cm="1">
        <f t="array" ref="AH30">CalculatePrice(AF30,$Q30,$R30,$V30,AE30,$S30)</f>
        <v>7.69</v>
      </c>
      <c r="AI30" s="1">
        <v>7651</v>
      </c>
      <c r="AK30" s="20" cm="1">
        <f t="array" ref="AK30">CalculatePrice(AI30,$Q30,$R30,$V30,AH30,$S30)</f>
        <v>7.69</v>
      </c>
      <c r="AL30" s="1">
        <v>7652</v>
      </c>
      <c r="AN30" s="20" cm="1">
        <f t="array" ref="AN30">CalculatePrice(AL30,$Q30,$R30,$V30,AK30,$S30)</f>
        <v>7.69</v>
      </c>
      <c r="AO30" s="1">
        <v>7649</v>
      </c>
      <c r="AP30" s="14">
        <v>7.29</v>
      </c>
      <c r="AQ30" s="20" cm="1">
        <f t="array" ref="AQ30">CalculatePrice(AO30,$Q30,$R30,$V30,AN30,$S30)</f>
        <v>7.69</v>
      </c>
    </row>
    <row r="31" spans="1:43" x14ac:dyDescent="0.25">
      <c r="A31" s="1" t="s">
        <v>252</v>
      </c>
      <c r="B31" s="1">
        <v>1</v>
      </c>
      <c r="C31" s="1">
        <v>652985</v>
      </c>
      <c r="D31" s="1" t="s">
        <v>473</v>
      </c>
      <c r="E31" s="1" t="s">
        <v>253</v>
      </c>
      <c r="F31" s="1" t="s">
        <v>44</v>
      </c>
      <c r="G31" s="1" t="s">
        <v>45</v>
      </c>
      <c r="H31" s="1" t="s">
        <v>58</v>
      </c>
      <c r="I31" s="1" t="s">
        <v>59</v>
      </c>
      <c r="J31" s="1" t="s">
        <v>203</v>
      </c>
      <c r="K31" s="1" t="s">
        <v>204</v>
      </c>
      <c r="L31" s="1" t="s">
        <v>205</v>
      </c>
      <c r="M31" s="1" t="s">
        <v>451</v>
      </c>
      <c r="N31" s="1" t="s">
        <v>206</v>
      </c>
      <c r="O31" s="1" t="s">
        <v>451</v>
      </c>
      <c r="P31" s="1" t="s">
        <v>449</v>
      </c>
      <c r="Q31" s="1" t="s">
        <v>60</v>
      </c>
      <c r="R31" s="1" t="s">
        <v>46</v>
      </c>
      <c r="S31" s="19">
        <v>8.39</v>
      </c>
      <c r="T31" s="1">
        <v>7850</v>
      </c>
      <c r="U31" s="14">
        <v>8.39</v>
      </c>
      <c r="V31" s="20" cm="1">
        <f t="array" ref="V31">CalculatePrice(T31,$Q31,$R31,$S31,0,$S31)</f>
        <v>8.39</v>
      </c>
      <c r="W31" s="1">
        <v>7800</v>
      </c>
      <c r="X31" s="14">
        <v>8.39</v>
      </c>
      <c r="Y31" s="20" cm="1">
        <f t="array" ref="Y31">CalculatePrice(W31,$Q31,$R31,$V31,V31,$S31)</f>
        <v>8.39</v>
      </c>
      <c r="Z31" s="1">
        <v>7750</v>
      </c>
      <c r="AA31" s="14">
        <v>8.39</v>
      </c>
      <c r="AB31" s="20" cm="1">
        <f t="array" ref="AB31">CalculatePrice(Z31,$Q31,$R31,$V31,Y31,$S31)</f>
        <v>8.39</v>
      </c>
      <c r="AC31" s="1">
        <v>7700</v>
      </c>
      <c r="AD31" s="14">
        <v>8.39</v>
      </c>
      <c r="AE31" s="20" cm="1">
        <f t="array" ref="AE31">CalculatePrice(AC31,$Q31,$R31,$V31,AB31,$S31)</f>
        <v>8.39</v>
      </c>
      <c r="AF31" s="1">
        <v>7650</v>
      </c>
      <c r="AH31" s="20" cm="1">
        <f t="array" ref="AH31">CalculatePrice(AF31,$Q31,$R31,$V31,AE31,$S31)</f>
        <v>8.39</v>
      </c>
      <c r="AI31" s="1">
        <v>7651</v>
      </c>
      <c r="AK31" s="20" cm="1">
        <f t="array" ref="AK31">CalculatePrice(AI31,$Q31,$R31,$V31,AH31,$S31)</f>
        <v>8.39</v>
      </c>
      <c r="AL31" s="1">
        <v>7652</v>
      </c>
      <c r="AN31" s="20" cm="1">
        <f t="array" ref="AN31">CalculatePrice(AL31,$Q31,$R31,$V31,AK31,$S31)</f>
        <v>8.39</v>
      </c>
      <c r="AO31" s="1">
        <v>7649</v>
      </c>
      <c r="AP31" s="14">
        <v>8.15</v>
      </c>
      <c r="AQ31" s="20" cm="1">
        <f t="array" ref="AQ31">CalculatePrice(AO31,$Q31,$R31,$V31,AN31,$S31)</f>
        <v>8.39</v>
      </c>
    </row>
    <row r="32" spans="1:43" x14ac:dyDescent="0.25">
      <c r="A32" s="1" t="s">
        <v>254</v>
      </c>
      <c r="B32" s="1">
        <v>1</v>
      </c>
      <c r="C32" s="1">
        <v>652988</v>
      </c>
      <c r="D32" s="1" t="s">
        <v>255</v>
      </c>
      <c r="E32" s="1" t="s">
        <v>256</v>
      </c>
      <c r="F32" s="1" t="s">
        <v>44</v>
      </c>
      <c r="G32" s="1" t="s">
        <v>45</v>
      </c>
      <c r="H32" s="1" t="s">
        <v>58</v>
      </c>
      <c r="I32" s="1" t="s">
        <v>59</v>
      </c>
      <c r="J32" s="1" t="s">
        <v>203</v>
      </c>
      <c r="K32" s="1" t="s">
        <v>204</v>
      </c>
      <c r="L32" s="1" t="s">
        <v>257</v>
      </c>
      <c r="M32" s="1" t="s">
        <v>258</v>
      </c>
      <c r="N32" s="1" t="s">
        <v>259</v>
      </c>
      <c r="O32" s="1" t="s">
        <v>258</v>
      </c>
      <c r="P32" s="1" t="s">
        <v>449</v>
      </c>
      <c r="Q32" s="1" t="s">
        <v>60</v>
      </c>
      <c r="R32" s="1" t="s">
        <v>46</v>
      </c>
      <c r="S32" s="19">
        <v>8.19</v>
      </c>
      <c r="T32" s="1">
        <v>7850</v>
      </c>
      <c r="U32" s="14">
        <v>8.19</v>
      </c>
      <c r="V32" s="20" cm="1">
        <f t="array" ref="V32">CalculatePrice(T32,$Q32,$R32,$S32,0,$S32)</f>
        <v>8.19</v>
      </c>
      <c r="W32" s="1">
        <v>7800</v>
      </c>
      <c r="X32" s="14">
        <v>8.19</v>
      </c>
      <c r="Y32" s="20" cm="1">
        <f t="array" ref="Y32">CalculatePrice(W32,$Q32,$R32,$V32,V32,$S32)</f>
        <v>8.19</v>
      </c>
      <c r="Z32" s="1">
        <v>7750</v>
      </c>
      <c r="AA32" s="14">
        <v>8.19</v>
      </c>
      <c r="AB32" s="20" cm="1">
        <f t="array" ref="AB32">CalculatePrice(Z32,$Q32,$R32,$V32,Y32,$S32)</f>
        <v>8.19</v>
      </c>
      <c r="AC32" s="1">
        <v>7700</v>
      </c>
      <c r="AD32" s="14">
        <v>8.19</v>
      </c>
      <c r="AE32" s="20" cm="1">
        <f t="array" ref="AE32">CalculatePrice(AC32,$Q32,$R32,$V32,AB32,$S32)</f>
        <v>8.19</v>
      </c>
      <c r="AF32" s="1">
        <v>7650</v>
      </c>
      <c r="AH32" s="20" cm="1">
        <f t="array" ref="AH32">CalculatePrice(AF32,$Q32,$R32,$V32,AE32,$S32)</f>
        <v>8.19</v>
      </c>
      <c r="AI32" s="1">
        <v>7651</v>
      </c>
      <c r="AK32" s="20" cm="1">
        <f t="array" ref="AK32">CalculatePrice(AI32,$Q32,$R32,$V32,AH32,$S32)</f>
        <v>8.19</v>
      </c>
      <c r="AL32" s="1">
        <v>7652</v>
      </c>
      <c r="AN32" s="20" cm="1">
        <f t="array" ref="AN32">CalculatePrice(AL32,$Q32,$R32,$V32,AK32,$S32)</f>
        <v>8.19</v>
      </c>
      <c r="AO32" s="1">
        <v>7649</v>
      </c>
      <c r="AP32" s="14">
        <v>7.99</v>
      </c>
      <c r="AQ32" s="20" cm="1">
        <f t="array" ref="AQ32">CalculatePrice(AO32,$Q32,$R32,$V32,AN32,$S32)</f>
        <v>8.19</v>
      </c>
    </row>
    <row r="33" spans="1:43" x14ac:dyDescent="0.25">
      <c r="A33" s="1" t="s">
        <v>260</v>
      </c>
      <c r="B33" s="1">
        <v>1</v>
      </c>
      <c r="C33" s="1">
        <v>652991</v>
      </c>
      <c r="D33" s="1" t="s">
        <v>474</v>
      </c>
      <c r="E33" s="1" t="s">
        <v>261</v>
      </c>
      <c r="F33" s="1" t="s">
        <v>44</v>
      </c>
      <c r="G33" s="1" t="s">
        <v>45</v>
      </c>
      <c r="H33" s="1" t="s">
        <v>58</v>
      </c>
      <c r="I33" s="1" t="s">
        <v>59</v>
      </c>
      <c r="J33" s="1" t="s">
        <v>203</v>
      </c>
      <c r="K33" s="1" t="s">
        <v>204</v>
      </c>
      <c r="L33" s="1" t="s">
        <v>205</v>
      </c>
      <c r="M33" s="1" t="s">
        <v>451</v>
      </c>
      <c r="N33" s="1" t="s">
        <v>206</v>
      </c>
      <c r="O33" s="1" t="s">
        <v>451</v>
      </c>
      <c r="P33" s="1" t="s">
        <v>449</v>
      </c>
      <c r="Q33" s="1" t="s">
        <v>60</v>
      </c>
      <c r="R33" s="1" t="s">
        <v>46</v>
      </c>
      <c r="S33" s="19">
        <v>9.85</v>
      </c>
      <c r="T33" s="1">
        <v>7850</v>
      </c>
      <c r="U33" s="14">
        <v>9.85</v>
      </c>
      <c r="V33" s="20" cm="1">
        <f t="array" ref="V33">CalculatePrice(T33,$Q33,$R33,$S33,0,$S33)</f>
        <v>9.85</v>
      </c>
      <c r="W33" s="1">
        <v>7800</v>
      </c>
      <c r="X33" s="14">
        <v>9.85</v>
      </c>
      <c r="Y33" s="20" cm="1">
        <f t="array" ref="Y33">CalculatePrice(W33,$Q33,$R33,$V33,V33,$S33)</f>
        <v>9.85</v>
      </c>
      <c r="Z33" s="1">
        <v>7750</v>
      </c>
      <c r="AA33" s="14">
        <v>9.85</v>
      </c>
      <c r="AB33" s="20" cm="1">
        <f t="array" ref="AB33">CalculatePrice(Z33,$Q33,$R33,$V33,Y33,$S33)</f>
        <v>9.85</v>
      </c>
      <c r="AC33" s="1">
        <v>7700</v>
      </c>
      <c r="AD33" s="14">
        <v>9.85</v>
      </c>
      <c r="AE33" s="20" cm="1">
        <f t="array" ref="AE33">CalculatePrice(AC33,$Q33,$R33,$V33,AB33,$S33)</f>
        <v>9.85</v>
      </c>
      <c r="AF33" s="1">
        <v>7650</v>
      </c>
      <c r="AH33" s="20" cm="1">
        <f t="array" ref="AH33">CalculatePrice(AF33,$Q33,$R33,$V33,AE33,$S33)</f>
        <v>9.85</v>
      </c>
      <c r="AI33" s="1">
        <v>7651</v>
      </c>
      <c r="AK33" s="20" cm="1">
        <f t="array" ref="AK33">CalculatePrice(AI33,$Q33,$R33,$V33,AH33,$S33)</f>
        <v>9.85</v>
      </c>
      <c r="AL33" s="1">
        <v>7652</v>
      </c>
      <c r="AN33" s="20" cm="1">
        <f t="array" ref="AN33">CalculatePrice(AL33,$Q33,$R33,$V33,AK33,$S33)</f>
        <v>9.85</v>
      </c>
      <c r="AO33" s="1">
        <v>7649</v>
      </c>
      <c r="AP33" s="14">
        <v>9.89</v>
      </c>
      <c r="AQ33" s="20" cm="1">
        <f t="array" ref="AQ33">CalculatePrice(AO33,$Q33,$R33,$V33,AN33,$S33)</f>
        <v>9.85</v>
      </c>
    </row>
    <row r="34" spans="1:43" x14ac:dyDescent="0.25">
      <c r="A34" s="1" t="s">
        <v>262</v>
      </c>
      <c r="B34" s="1">
        <v>1</v>
      </c>
      <c r="C34" s="1">
        <v>652994</v>
      </c>
      <c r="D34" s="1" t="s">
        <v>475</v>
      </c>
      <c r="E34" s="1" t="s">
        <v>263</v>
      </c>
      <c r="F34" s="1" t="s">
        <v>44</v>
      </c>
      <c r="G34" s="1" t="s">
        <v>45</v>
      </c>
      <c r="H34" s="1" t="s">
        <v>58</v>
      </c>
      <c r="I34" s="1" t="s">
        <v>59</v>
      </c>
      <c r="J34" s="1" t="s">
        <v>203</v>
      </c>
      <c r="K34" s="1" t="s">
        <v>204</v>
      </c>
      <c r="L34" s="1" t="s">
        <v>205</v>
      </c>
      <c r="M34" s="1" t="s">
        <v>451</v>
      </c>
      <c r="N34" s="1" t="s">
        <v>206</v>
      </c>
      <c r="O34" s="1" t="s">
        <v>451</v>
      </c>
      <c r="P34" s="1" t="s">
        <v>449</v>
      </c>
      <c r="Q34" s="1" t="s">
        <v>60</v>
      </c>
      <c r="R34" s="1" t="s">
        <v>46</v>
      </c>
      <c r="S34" s="19">
        <v>6.99</v>
      </c>
      <c r="T34" s="1">
        <v>7850</v>
      </c>
      <c r="U34" s="14">
        <v>6.99</v>
      </c>
      <c r="V34" s="20" cm="1">
        <f t="array" ref="V34">CalculatePrice(T34,$Q34,$R34,$S34,0,$S34)</f>
        <v>6.99</v>
      </c>
      <c r="W34" s="1">
        <v>7800</v>
      </c>
      <c r="X34" s="14">
        <v>6.99</v>
      </c>
      <c r="Y34" s="20" cm="1">
        <f t="array" ref="Y34">CalculatePrice(W34,$Q34,$R34,$V34,V34,$S34)</f>
        <v>6.99</v>
      </c>
      <c r="Z34" s="1">
        <v>7750</v>
      </c>
      <c r="AA34" s="14">
        <v>6.99</v>
      </c>
      <c r="AB34" s="20" cm="1">
        <f t="array" ref="AB34">CalculatePrice(Z34,$Q34,$R34,$V34,Y34,$S34)</f>
        <v>6.99</v>
      </c>
      <c r="AC34" s="1">
        <v>7700</v>
      </c>
      <c r="AD34" s="14">
        <v>6.99</v>
      </c>
      <c r="AE34" s="20" cm="1">
        <f t="array" ref="AE34">CalculatePrice(AC34,$Q34,$R34,$V34,AB34,$S34)</f>
        <v>6.99</v>
      </c>
      <c r="AF34" s="1">
        <v>7650</v>
      </c>
      <c r="AH34" s="20" cm="1">
        <f t="array" ref="AH34">CalculatePrice(AF34,$Q34,$R34,$V34,AE34,$S34)</f>
        <v>6.99</v>
      </c>
      <c r="AI34" s="1">
        <v>7651</v>
      </c>
      <c r="AK34" s="20" cm="1">
        <f t="array" ref="AK34">CalculatePrice(AI34,$Q34,$R34,$V34,AH34,$S34)</f>
        <v>6.99</v>
      </c>
      <c r="AL34" s="1">
        <v>7652</v>
      </c>
      <c r="AN34" s="20" cm="1">
        <f t="array" ref="AN34">CalculatePrice(AL34,$Q34,$R34,$V34,AK34,$S34)</f>
        <v>6.99</v>
      </c>
      <c r="AO34" s="1">
        <v>7649</v>
      </c>
      <c r="AP34" s="14">
        <v>6.99</v>
      </c>
      <c r="AQ34" s="20" cm="1">
        <f t="array" ref="AQ34">CalculatePrice(AO34,$Q34,$R34,$V34,AN34,$S34)</f>
        <v>6.99</v>
      </c>
    </row>
    <row r="35" spans="1:43" x14ac:dyDescent="0.25">
      <c r="A35" s="1" t="s">
        <v>264</v>
      </c>
      <c r="B35" s="1">
        <v>2</v>
      </c>
      <c r="C35" s="1">
        <v>701714</v>
      </c>
      <c r="D35" s="1" t="s">
        <v>265</v>
      </c>
      <c r="E35" s="1" t="s">
        <v>266</v>
      </c>
      <c r="F35" s="1" t="s">
        <v>53</v>
      </c>
      <c r="G35" s="1" t="s">
        <v>54</v>
      </c>
      <c r="H35" s="1" t="s">
        <v>55</v>
      </c>
      <c r="I35" s="1" t="s">
        <v>56</v>
      </c>
      <c r="J35" s="1" t="s">
        <v>193</v>
      </c>
      <c r="K35" s="1" t="s">
        <v>194</v>
      </c>
      <c r="L35" s="1" t="s">
        <v>195</v>
      </c>
      <c r="M35" s="1" t="s">
        <v>196</v>
      </c>
      <c r="N35" s="1" t="s">
        <v>197</v>
      </c>
      <c r="O35" s="1" t="s">
        <v>198</v>
      </c>
      <c r="P35" s="1" t="s">
        <v>449</v>
      </c>
      <c r="Q35" s="1" t="s">
        <v>46</v>
      </c>
      <c r="R35" s="1" t="s">
        <v>46</v>
      </c>
      <c r="S35" s="19">
        <v>0</v>
      </c>
      <c r="T35" s="1">
        <v>7850</v>
      </c>
      <c r="W35" s="1">
        <v>7800</v>
      </c>
      <c r="Z35" s="1">
        <v>7750</v>
      </c>
      <c r="AC35" s="1">
        <v>7700</v>
      </c>
      <c r="AF35" s="1">
        <v>7650</v>
      </c>
      <c r="AI35" s="1">
        <v>7651</v>
      </c>
      <c r="AL35" s="1">
        <v>7652</v>
      </c>
      <c r="AO35" s="1">
        <v>7649</v>
      </c>
    </row>
    <row r="36" spans="1:43" x14ac:dyDescent="0.25">
      <c r="A36" s="1" t="s">
        <v>264</v>
      </c>
      <c r="B36" s="1">
        <v>1</v>
      </c>
      <c r="C36" s="1">
        <v>506525</v>
      </c>
      <c r="D36" s="1" t="s">
        <v>267</v>
      </c>
      <c r="E36" s="1" t="s">
        <v>268</v>
      </c>
      <c r="F36" s="1" t="s">
        <v>53</v>
      </c>
      <c r="G36" s="1" t="s">
        <v>54</v>
      </c>
      <c r="H36" s="1" t="s">
        <v>55</v>
      </c>
      <c r="I36" s="1" t="s">
        <v>56</v>
      </c>
      <c r="J36" s="1" t="s">
        <v>193</v>
      </c>
      <c r="K36" s="1" t="s">
        <v>194</v>
      </c>
      <c r="L36" s="1" t="s">
        <v>195</v>
      </c>
      <c r="M36" s="1" t="s">
        <v>196</v>
      </c>
      <c r="N36" s="1" t="s">
        <v>197</v>
      </c>
      <c r="O36" s="1" t="s">
        <v>198</v>
      </c>
      <c r="P36" s="1" t="s">
        <v>449</v>
      </c>
      <c r="Q36" s="1" t="s">
        <v>57</v>
      </c>
      <c r="R36" s="1" t="s">
        <v>46</v>
      </c>
      <c r="S36" s="19">
        <v>4.5999999999999996</v>
      </c>
      <c r="T36" s="1">
        <v>7850</v>
      </c>
      <c r="U36" s="14">
        <v>4.5999999999999996</v>
      </c>
      <c r="V36" s="20" cm="1">
        <f t="array" ref="V36">CalculatePrice(T36,$Q36,$R36,$S36,0,$S36)</f>
        <v>4.5999999999999996</v>
      </c>
      <c r="W36" s="1">
        <v>7800</v>
      </c>
      <c r="X36" s="14">
        <v>4.5999999999999996</v>
      </c>
      <c r="Y36" s="20" cm="1">
        <f t="array" ref="Y36">CalculatePrice(W36,$Q36,$R36,$V36,V36,$S36)</f>
        <v>4.5999999999999996</v>
      </c>
      <c r="Z36" s="1">
        <v>7750</v>
      </c>
      <c r="AA36" s="14">
        <v>4.5999999999999996</v>
      </c>
      <c r="AB36" s="20" cm="1">
        <f t="array" ref="AB36">CalculatePrice(Z36,$Q36,$R36,$V36,Y36,$S36)</f>
        <v>4.5999999999999996</v>
      </c>
      <c r="AC36" s="1">
        <v>7700</v>
      </c>
      <c r="AD36" s="14">
        <v>4.5999999999999996</v>
      </c>
      <c r="AE36" s="20" cm="1">
        <f t="array" ref="AE36">CalculatePrice(AC36,$Q36,$R36,$V36,AB36,$S36)</f>
        <v>4.5999999999999996</v>
      </c>
      <c r="AF36" s="1">
        <v>7650</v>
      </c>
      <c r="AH36" s="20" cm="1">
        <f t="array" ref="AH36">CalculatePrice(AF36,$Q36,$R36,$V36,AE36,$S36)</f>
        <v>4.5999999999999996</v>
      </c>
      <c r="AI36" s="1">
        <v>7651</v>
      </c>
      <c r="AK36" s="20" cm="1">
        <f t="array" ref="AK36">CalculatePrice(AI36,$Q36,$R36,$V36,AH36,$S36)</f>
        <v>4.5999999999999996</v>
      </c>
      <c r="AL36" s="1">
        <v>7652</v>
      </c>
      <c r="AN36" s="20" cm="1">
        <f t="array" ref="AN36">CalculatePrice(AL36,$Q36,$R36,$V36,AK36,$S36)</f>
        <v>4.5999999999999996</v>
      </c>
      <c r="AO36" s="1">
        <v>7649</v>
      </c>
      <c r="AP36" s="14">
        <v>4.5999999999999996</v>
      </c>
      <c r="AQ36" s="20" cm="1">
        <f t="array" ref="AQ36">CalculatePrice(AO36,$Q36,$R36,$V36,AN36,$S36)</f>
        <v>4.5999999999999996</v>
      </c>
    </row>
    <row r="37" spans="1:43" x14ac:dyDescent="0.25">
      <c r="A37" s="1" t="s">
        <v>137</v>
      </c>
      <c r="B37" s="1">
        <v>1</v>
      </c>
      <c r="C37" s="1">
        <v>506536</v>
      </c>
      <c r="D37" s="1" t="s">
        <v>138</v>
      </c>
      <c r="E37" s="1" t="s">
        <v>139</v>
      </c>
      <c r="F37" s="1" t="s">
        <v>47</v>
      </c>
      <c r="G37" s="1" t="s">
        <v>453</v>
      </c>
      <c r="H37" s="1" t="s">
        <v>78</v>
      </c>
      <c r="I37" s="1" t="s">
        <v>79</v>
      </c>
      <c r="J37" s="1" t="s">
        <v>80</v>
      </c>
      <c r="K37" s="1" t="s">
        <v>81</v>
      </c>
      <c r="L37" s="1" t="s">
        <v>82</v>
      </c>
      <c r="M37" s="1" t="s">
        <v>83</v>
      </c>
      <c r="N37" s="1" t="s">
        <v>140</v>
      </c>
      <c r="O37" s="1" t="s">
        <v>141</v>
      </c>
      <c r="P37" s="1" t="s">
        <v>449</v>
      </c>
      <c r="Q37" s="1" t="s">
        <v>60</v>
      </c>
      <c r="R37" s="1" t="s">
        <v>118</v>
      </c>
      <c r="S37" s="19">
        <v>1.49</v>
      </c>
      <c r="T37" s="1">
        <v>7850</v>
      </c>
      <c r="U37" s="14">
        <v>1.49</v>
      </c>
      <c r="V37" s="20" cm="1">
        <f t="array" ref="V37">CalculatePrice(T37,$Q37,$R37,$S37,0,$S37)</f>
        <v>1.49</v>
      </c>
      <c r="W37" s="1">
        <v>7800</v>
      </c>
      <c r="X37" s="14">
        <v>1.49</v>
      </c>
      <c r="Y37" s="20" cm="1">
        <f t="array" ref="Y37">CalculatePrice(W37,$Q37,$R37,$V37,V37,$S37)</f>
        <v>1.49</v>
      </c>
      <c r="Z37" s="1">
        <v>7750</v>
      </c>
      <c r="AA37" s="14">
        <v>1.49</v>
      </c>
      <c r="AB37" s="20" cm="1">
        <f t="array" ref="AB37">CalculatePrice(Z37,$Q37,$R37,$V37,Y37,$S37)</f>
        <v>1.49</v>
      </c>
      <c r="AC37" s="1">
        <v>7700</v>
      </c>
      <c r="AD37" s="14">
        <v>1.49</v>
      </c>
      <c r="AE37" s="20" cm="1">
        <f t="array" ref="AE37">CalculatePrice(AC37,$Q37,$R37,$V37,AB37,$S37)</f>
        <v>1.49</v>
      </c>
      <c r="AF37" s="1">
        <v>7650</v>
      </c>
      <c r="AG37" s="14">
        <v>1.49</v>
      </c>
      <c r="AH37" s="20" cm="1">
        <f t="array" ref="AH37">CalculatePrice(AF37,$Q37,$R37,$V37,AE37,$S37)</f>
        <v>1.49</v>
      </c>
      <c r="AI37" s="1">
        <v>7651</v>
      </c>
      <c r="AJ37" s="14">
        <v>1.49</v>
      </c>
      <c r="AK37" s="20" cm="1">
        <f t="array" ref="AK37">CalculatePrice(AI37,$Q37,$R37,$V37,AH37,$S37)</f>
        <v>1.49</v>
      </c>
      <c r="AL37" s="1">
        <v>7652</v>
      </c>
      <c r="AM37" s="14">
        <v>1.49</v>
      </c>
      <c r="AN37" s="20" cm="1">
        <f t="array" ref="AN37">CalculatePrice(AL37,$Q37,$R37,$V37,AK37,$S37)</f>
        <v>1.49</v>
      </c>
      <c r="AO37" s="1">
        <v>7649</v>
      </c>
      <c r="AP37" s="14">
        <v>1.49</v>
      </c>
      <c r="AQ37" s="20" cm="1">
        <f t="array" ref="AQ37">CalculatePrice(AO37,$Q37,$R37,$V37,AN37,$S37)</f>
        <v>1.49</v>
      </c>
    </row>
    <row r="38" spans="1:43" x14ac:dyDescent="0.25">
      <c r="A38" s="1" t="s">
        <v>269</v>
      </c>
      <c r="B38" s="1">
        <v>1</v>
      </c>
      <c r="C38" s="1">
        <v>506545</v>
      </c>
      <c r="D38" s="1" t="s">
        <v>142</v>
      </c>
      <c r="E38" s="1" t="s">
        <v>270</v>
      </c>
      <c r="F38" s="1" t="s">
        <v>49</v>
      </c>
      <c r="G38" s="1" t="s">
        <v>458</v>
      </c>
      <c r="H38" s="1" t="s">
        <v>50</v>
      </c>
      <c r="I38" s="1" t="s">
        <v>459</v>
      </c>
      <c r="J38" s="1" t="s">
        <v>65</v>
      </c>
      <c r="K38" s="1" t="s">
        <v>66</v>
      </c>
      <c r="L38" s="1" t="s">
        <v>67</v>
      </c>
      <c r="M38" s="1" t="s">
        <v>68</v>
      </c>
      <c r="N38" s="1" t="s">
        <v>116</v>
      </c>
      <c r="O38" s="1" t="s">
        <v>117</v>
      </c>
      <c r="P38" s="1" t="s">
        <v>449</v>
      </c>
      <c r="Q38" s="1" t="s">
        <v>46</v>
      </c>
      <c r="R38" s="1" t="s">
        <v>46</v>
      </c>
      <c r="S38" s="19">
        <v>1.02</v>
      </c>
      <c r="T38" s="1">
        <v>7850</v>
      </c>
      <c r="U38" s="14">
        <v>1.02</v>
      </c>
      <c r="W38" s="1">
        <v>7800</v>
      </c>
      <c r="X38" s="14">
        <v>1.0900000000000001</v>
      </c>
      <c r="Z38" s="1">
        <v>7750</v>
      </c>
      <c r="AA38" s="14">
        <v>1.1499999999999999</v>
      </c>
      <c r="AC38" s="1">
        <v>7700</v>
      </c>
      <c r="AD38" s="14">
        <v>1.1499999999999999</v>
      </c>
      <c r="AF38" s="1">
        <v>7650</v>
      </c>
      <c r="AG38" s="14">
        <v>1.19</v>
      </c>
      <c r="AI38" s="1">
        <v>7651</v>
      </c>
      <c r="AJ38" s="14">
        <v>1.19</v>
      </c>
      <c r="AL38" s="1">
        <v>7652</v>
      </c>
      <c r="AM38" s="14">
        <v>1.25</v>
      </c>
      <c r="AO38" s="1">
        <v>7649</v>
      </c>
      <c r="AP38" s="14">
        <v>1.25</v>
      </c>
    </row>
    <row r="39" spans="1:43" x14ac:dyDescent="0.25">
      <c r="A39" s="1" t="s">
        <v>143</v>
      </c>
      <c r="B39" s="1">
        <v>1</v>
      </c>
      <c r="C39" s="1">
        <v>506554</v>
      </c>
      <c r="D39" s="1" t="s">
        <v>144</v>
      </c>
      <c r="E39" s="1" t="s">
        <v>145</v>
      </c>
      <c r="F39" s="1" t="s">
        <v>49</v>
      </c>
      <c r="G39" s="1" t="s">
        <v>458</v>
      </c>
      <c r="H39" s="1" t="s">
        <v>50</v>
      </c>
      <c r="I39" s="1" t="s">
        <v>459</v>
      </c>
      <c r="J39" s="1" t="s">
        <v>51</v>
      </c>
      <c r="K39" s="1" t="s">
        <v>476</v>
      </c>
      <c r="L39" s="1" t="s">
        <v>146</v>
      </c>
      <c r="M39" s="1" t="s">
        <v>477</v>
      </c>
      <c r="N39" s="1" t="s">
        <v>147</v>
      </c>
      <c r="O39" s="1" t="s">
        <v>148</v>
      </c>
      <c r="P39" s="1" t="s">
        <v>449</v>
      </c>
      <c r="Q39" s="1" t="s">
        <v>46</v>
      </c>
      <c r="R39" s="1" t="s">
        <v>71</v>
      </c>
      <c r="S39" s="19">
        <v>15.49</v>
      </c>
      <c r="T39" s="1">
        <v>7850</v>
      </c>
      <c r="U39" s="14">
        <v>15.49</v>
      </c>
      <c r="W39" s="1">
        <v>7800</v>
      </c>
      <c r="X39" s="14">
        <v>15.49</v>
      </c>
      <c r="Z39" s="1">
        <v>7750</v>
      </c>
      <c r="AA39" s="14">
        <v>15.99</v>
      </c>
      <c r="AC39" s="1">
        <v>7700</v>
      </c>
      <c r="AD39" s="14">
        <v>15.99</v>
      </c>
      <c r="AF39" s="1">
        <v>7650</v>
      </c>
      <c r="AG39" s="14">
        <v>16.489999999999998</v>
      </c>
      <c r="AI39" s="1">
        <v>7651</v>
      </c>
      <c r="AJ39" s="14">
        <v>16.989999999999998</v>
      </c>
      <c r="AL39" s="1">
        <v>7652</v>
      </c>
      <c r="AM39" s="14">
        <v>17.489999999999998</v>
      </c>
      <c r="AO39" s="1">
        <v>7649</v>
      </c>
      <c r="AP39" s="14">
        <v>17.989999999999998</v>
      </c>
    </row>
    <row r="40" spans="1:43" x14ac:dyDescent="0.25">
      <c r="A40" s="1" t="s">
        <v>271</v>
      </c>
      <c r="B40" s="1">
        <v>1</v>
      </c>
      <c r="C40" s="1">
        <v>506556</v>
      </c>
      <c r="D40" s="1" t="s">
        <v>478</v>
      </c>
      <c r="E40" s="1" t="s">
        <v>272</v>
      </c>
      <c r="F40" s="1" t="s">
        <v>44</v>
      </c>
      <c r="G40" s="1" t="s">
        <v>45</v>
      </c>
      <c r="H40" s="1" t="s">
        <v>184</v>
      </c>
      <c r="I40" s="1" t="s">
        <v>446</v>
      </c>
      <c r="J40" s="1" t="s">
        <v>185</v>
      </c>
      <c r="K40" s="1" t="s">
        <v>447</v>
      </c>
      <c r="L40" s="1" t="s">
        <v>186</v>
      </c>
      <c r="M40" s="1" t="s">
        <v>448</v>
      </c>
      <c r="N40" s="1" t="s">
        <v>273</v>
      </c>
      <c r="O40" s="1" t="s">
        <v>478</v>
      </c>
      <c r="P40" s="1" t="s">
        <v>449</v>
      </c>
      <c r="Q40" s="1" t="s">
        <v>189</v>
      </c>
      <c r="R40" s="1" t="s">
        <v>46</v>
      </c>
      <c r="S40" s="19">
        <v>1.69</v>
      </c>
      <c r="T40" s="1">
        <v>7850</v>
      </c>
      <c r="U40" s="14">
        <v>1.69</v>
      </c>
      <c r="V40" s="20" cm="1">
        <f t="array" ref="V40">CalculatePrice(T40,$Q40,$R40,$S40,0,$S40)</f>
        <v>1.69</v>
      </c>
      <c r="W40" s="1">
        <v>7800</v>
      </c>
      <c r="X40" s="14">
        <v>1.69</v>
      </c>
      <c r="Y40" s="20" cm="1">
        <f t="array" ref="Y40">CalculatePrice(W40,$Q40,$R40,$V40,V40,$S40)</f>
        <v>1.69</v>
      </c>
      <c r="Z40" s="1">
        <v>7750</v>
      </c>
      <c r="AA40" s="14">
        <v>1.69</v>
      </c>
      <c r="AB40" s="20" cm="1">
        <f t="array" ref="AB40">CalculatePrice(Z40,$Q40,$R40,$V40,Y40,$S40)</f>
        <v>1.69</v>
      </c>
      <c r="AC40" s="1">
        <v>7700</v>
      </c>
      <c r="AD40" s="14">
        <v>1.69</v>
      </c>
      <c r="AE40" s="20" cm="1">
        <f t="array" ref="AE40">CalculatePrice(AC40,$Q40,$R40,$V40,AB40,$S40)</f>
        <v>1.69</v>
      </c>
      <c r="AF40" s="1">
        <v>7650</v>
      </c>
      <c r="AG40" s="14">
        <v>1.69</v>
      </c>
      <c r="AH40" s="20" cm="1">
        <f t="array" ref="AH40">CalculatePrice(AF40,$Q40,$R40,$V40,AE40,$S40)</f>
        <v>1.69</v>
      </c>
      <c r="AI40" s="1">
        <v>7651</v>
      </c>
      <c r="AJ40" s="14">
        <v>1.69</v>
      </c>
      <c r="AK40" s="20" cm="1">
        <f t="array" ref="AK40">CalculatePrice(AI40,$Q40,$R40,$V40,AH40,$S40)</f>
        <v>1.69</v>
      </c>
      <c r="AL40" s="1">
        <v>7652</v>
      </c>
      <c r="AM40" s="14">
        <v>1.69</v>
      </c>
      <c r="AN40" s="20" cm="1">
        <f t="array" ref="AN40">CalculatePrice(AL40,$Q40,$R40,$V40,AK40,$S40)</f>
        <v>1.69</v>
      </c>
      <c r="AO40" s="1">
        <v>7649</v>
      </c>
      <c r="AP40" s="14">
        <v>1.69</v>
      </c>
      <c r="AQ40" s="20" cm="1">
        <f t="array" ref="AQ40">CalculatePrice(AO40,$Q40,$R40,$V40,AN40,$S40)</f>
        <v>1.69</v>
      </c>
    </row>
    <row r="41" spans="1:43" x14ac:dyDescent="0.25">
      <c r="A41" s="1" t="s">
        <v>274</v>
      </c>
      <c r="B41" s="1">
        <v>1</v>
      </c>
      <c r="C41" s="1">
        <v>506561</v>
      </c>
      <c r="D41" s="1" t="s">
        <v>275</v>
      </c>
      <c r="E41" s="1" t="s">
        <v>276</v>
      </c>
      <c r="F41" s="1" t="s">
        <v>53</v>
      </c>
      <c r="G41" s="1" t="s">
        <v>54</v>
      </c>
      <c r="H41" s="1" t="s">
        <v>55</v>
      </c>
      <c r="I41" s="1" t="s">
        <v>56</v>
      </c>
      <c r="J41" s="1" t="s">
        <v>193</v>
      </c>
      <c r="K41" s="1" t="s">
        <v>194</v>
      </c>
      <c r="L41" s="1" t="s">
        <v>195</v>
      </c>
      <c r="M41" s="1" t="s">
        <v>196</v>
      </c>
      <c r="N41" s="1" t="s">
        <v>197</v>
      </c>
      <c r="O41" s="1" t="s">
        <v>198</v>
      </c>
      <c r="P41" s="1" t="s">
        <v>449</v>
      </c>
      <c r="Q41" s="1" t="s">
        <v>57</v>
      </c>
      <c r="R41" s="1" t="s">
        <v>46</v>
      </c>
      <c r="S41" s="19">
        <v>4.0999999999999996</v>
      </c>
      <c r="T41" s="1">
        <v>7850</v>
      </c>
      <c r="U41" s="14">
        <v>4.0999999999999996</v>
      </c>
      <c r="V41" s="20" cm="1">
        <f t="array" ref="V41">CalculatePrice(T41,$Q41,$R41,$S41,0,$S41)</f>
        <v>4.0999999999999996</v>
      </c>
      <c r="W41" s="1">
        <v>7800</v>
      </c>
      <c r="X41" s="14">
        <v>4.0999999999999996</v>
      </c>
      <c r="Y41" s="20" cm="1">
        <f t="array" ref="Y41">CalculatePrice(W41,$Q41,$R41,$V41,V41,$S41)</f>
        <v>4.0999999999999996</v>
      </c>
      <c r="Z41" s="1">
        <v>7750</v>
      </c>
      <c r="AA41" s="14">
        <v>4.0999999999999996</v>
      </c>
      <c r="AB41" s="20" cm="1">
        <f t="array" ref="AB41">CalculatePrice(Z41,$Q41,$R41,$V41,Y41,$S41)</f>
        <v>4.0999999999999996</v>
      </c>
      <c r="AC41" s="1">
        <v>7700</v>
      </c>
      <c r="AD41" s="14">
        <v>4.0999999999999996</v>
      </c>
      <c r="AE41" s="20" cm="1">
        <f t="array" ref="AE41">CalculatePrice(AC41,$Q41,$R41,$V41,AB41,$S41)</f>
        <v>4.0999999999999996</v>
      </c>
      <c r="AF41" s="1">
        <v>7650</v>
      </c>
      <c r="AH41" s="20" cm="1">
        <f t="array" ref="AH41">CalculatePrice(AF41,$Q41,$R41,$V41,AE41,$S41)</f>
        <v>4.0999999999999996</v>
      </c>
      <c r="AI41" s="1">
        <v>7651</v>
      </c>
      <c r="AK41" s="20" cm="1">
        <f t="array" ref="AK41">CalculatePrice(AI41,$Q41,$R41,$V41,AH41,$S41)</f>
        <v>4.0999999999999996</v>
      </c>
      <c r="AL41" s="1">
        <v>7652</v>
      </c>
      <c r="AN41" s="20" cm="1">
        <f t="array" ref="AN41">CalculatePrice(AL41,$Q41,$R41,$V41,AK41,$S41)</f>
        <v>4.0999999999999996</v>
      </c>
      <c r="AO41" s="1">
        <v>7649</v>
      </c>
      <c r="AP41" s="14">
        <v>4.0999999999999996</v>
      </c>
      <c r="AQ41" s="20" cm="1">
        <f t="array" ref="AQ41">CalculatePrice(AO41,$Q41,$R41,$V41,AN41,$S41)</f>
        <v>4.0999999999999996</v>
      </c>
    </row>
    <row r="42" spans="1:43" x14ac:dyDescent="0.25">
      <c r="A42" s="1" t="s">
        <v>274</v>
      </c>
      <c r="B42" s="1">
        <v>2</v>
      </c>
      <c r="C42" s="1">
        <v>701592</v>
      </c>
      <c r="D42" s="1" t="s">
        <v>277</v>
      </c>
      <c r="E42" s="1" t="s">
        <v>278</v>
      </c>
      <c r="F42" s="1" t="s">
        <v>53</v>
      </c>
      <c r="G42" s="1" t="s">
        <v>54</v>
      </c>
      <c r="H42" s="1" t="s">
        <v>55</v>
      </c>
      <c r="I42" s="1" t="s">
        <v>56</v>
      </c>
      <c r="J42" s="1" t="s">
        <v>193</v>
      </c>
      <c r="K42" s="1" t="s">
        <v>194</v>
      </c>
      <c r="L42" s="1" t="s">
        <v>195</v>
      </c>
      <c r="M42" s="1" t="s">
        <v>196</v>
      </c>
      <c r="N42" s="1" t="s">
        <v>197</v>
      </c>
      <c r="O42" s="1" t="s">
        <v>198</v>
      </c>
      <c r="P42" s="1" t="s">
        <v>449</v>
      </c>
      <c r="Q42" s="1" t="s">
        <v>46</v>
      </c>
      <c r="R42" s="1" t="s">
        <v>46</v>
      </c>
      <c r="S42" s="19">
        <v>0</v>
      </c>
      <c r="T42" s="1">
        <v>7850</v>
      </c>
      <c r="W42" s="1">
        <v>7800</v>
      </c>
      <c r="Z42" s="1">
        <v>7750</v>
      </c>
      <c r="AC42" s="1">
        <v>7700</v>
      </c>
      <c r="AF42" s="1">
        <v>7650</v>
      </c>
      <c r="AI42" s="1">
        <v>7651</v>
      </c>
      <c r="AL42" s="1">
        <v>7652</v>
      </c>
      <c r="AO42" s="1">
        <v>7649</v>
      </c>
    </row>
    <row r="43" spans="1:43" x14ac:dyDescent="0.25">
      <c r="A43" s="1" t="s">
        <v>279</v>
      </c>
      <c r="B43" s="1">
        <v>1</v>
      </c>
      <c r="C43" s="1">
        <v>652997</v>
      </c>
      <c r="D43" s="1" t="s">
        <v>479</v>
      </c>
      <c r="E43" s="1" t="s">
        <v>280</v>
      </c>
      <c r="F43" s="1" t="s">
        <v>53</v>
      </c>
      <c r="G43" s="1" t="s">
        <v>54</v>
      </c>
      <c r="H43" s="1" t="s">
        <v>281</v>
      </c>
      <c r="I43" s="1" t="s">
        <v>282</v>
      </c>
      <c r="J43" s="1" t="s">
        <v>283</v>
      </c>
      <c r="K43" s="1" t="s">
        <v>284</v>
      </c>
      <c r="L43" s="1" t="s">
        <v>285</v>
      </c>
      <c r="M43" s="1" t="s">
        <v>286</v>
      </c>
      <c r="N43" s="1" t="s">
        <v>287</v>
      </c>
      <c r="O43" s="1" t="s">
        <v>286</v>
      </c>
      <c r="P43" s="1" t="s">
        <v>449</v>
      </c>
      <c r="Q43" s="1" t="s">
        <v>46</v>
      </c>
      <c r="R43" s="1" t="s">
        <v>46</v>
      </c>
      <c r="S43" s="19">
        <v>5.31</v>
      </c>
      <c r="T43" s="1">
        <v>7850</v>
      </c>
      <c r="U43" s="14">
        <v>5.31</v>
      </c>
      <c r="W43" s="1">
        <v>7800</v>
      </c>
      <c r="X43" s="14">
        <v>5.44</v>
      </c>
      <c r="Z43" s="1">
        <v>7750</v>
      </c>
      <c r="AA43" s="14">
        <v>5.57</v>
      </c>
      <c r="AC43" s="1">
        <v>7700</v>
      </c>
      <c r="AD43" s="14">
        <v>5.84</v>
      </c>
      <c r="AF43" s="1">
        <v>7650</v>
      </c>
      <c r="AI43" s="1">
        <v>7651</v>
      </c>
      <c r="AL43" s="1">
        <v>7652</v>
      </c>
      <c r="AO43" s="1">
        <v>7649</v>
      </c>
      <c r="AP43" s="14">
        <v>6.25</v>
      </c>
    </row>
    <row r="44" spans="1:43" x14ac:dyDescent="0.25">
      <c r="A44" s="1" t="s">
        <v>288</v>
      </c>
      <c r="B44" s="1">
        <v>1</v>
      </c>
      <c r="C44" s="1">
        <v>506572</v>
      </c>
      <c r="D44" s="1" t="s">
        <v>480</v>
      </c>
      <c r="E44" s="1" t="s">
        <v>289</v>
      </c>
      <c r="F44" s="1" t="s">
        <v>47</v>
      </c>
      <c r="G44" s="1" t="s">
        <v>453</v>
      </c>
      <c r="H44" s="1" t="s">
        <v>48</v>
      </c>
      <c r="I44" s="1" t="s">
        <v>454</v>
      </c>
      <c r="J44" s="1" t="s">
        <v>61</v>
      </c>
      <c r="K44" s="1" t="s">
        <v>62</v>
      </c>
      <c r="L44" s="1" t="s">
        <v>63</v>
      </c>
      <c r="M44" s="1" t="s">
        <v>64</v>
      </c>
      <c r="N44" s="1" t="s">
        <v>290</v>
      </c>
      <c r="O44" s="1" t="s">
        <v>291</v>
      </c>
      <c r="P44" s="1" t="s">
        <v>449</v>
      </c>
      <c r="Q44" s="1" t="s">
        <v>46</v>
      </c>
      <c r="R44" s="1" t="s">
        <v>481</v>
      </c>
      <c r="S44" s="19">
        <v>1.45</v>
      </c>
      <c r="T44" s="1">
        <v>7850</v>
      </c>
      <c r="U44" s="14">
        <v>1.45</v>
      </c>
      <c r="W44" s="1">
        <v>7800</v>
      </c>
      <c r="X44" s="14">
        <v>1.45</v>
      </c>
      <c r="Z44" s="1">
        <v>7750</v>
      </c>
      <c r="AA44" s="14">
        <v>1.49</v>
      </c>
      <c r="AC44" s="1">
        <v>7700</v>
      </c>
      <c r="AD44" s="14">
        <v>1.49</v>
      </c>
      <c r="AF44" s="1">
        <v>7650</v>
      </c>
      <c r="AG44" s="14">
        <v>1.49</v>
      </c>
      <c r="AI44" s="1">
        <v>7651</v>
      </c>
      <c r="AJ44" s="14">
        <v>1.49</v>
      </c>
      <c r="AL44" s="1">
        <v>7652</v>
      </c>
      <c r="AM44" s="14">
        <v>1.49</v>
      </c>
      <c r="AO44" s="1">
        <v>7649</v>
      </c>
      <c r="AP44" s="14">
        <v>1.49</v>
      </c>
    </row>
    <row r="45" spans="1:43" x14ac:dyDescent="0.25">
      <c r="A45" s="1" t="s">
        <v>149</v>
      </c>
      <c r="B45" s="1">
        <v>1</v>
      </c>
      <c r="C45" s="1">
        <v>506581</v>
      </c>
      <c r="D45" s="1" t="s">
        <v>150</v>
      </c>
      <c r="E45" s="1" t="s">
        <v>151</v>
      </c>
      <c r="F45" s="1" t="s">
        <v>44</v>
      </c>
      <c r="G45" s="1" t="s">
        <v>45</v>
      </c>
      <c r="H45" s="1" t="s">
        <v>58</v>
      </c>
      <c r="I45" s="1" t="s">
        <v>59</v>
      </c>
      <c r="J45" s="1" t="s">
        <v>130</v>
      </c>
      <c r="K45" s="1" t="s">
        <v>131</v>
      </c>
      <c r="L45" s="1" t="s">
        <v>132</v>
      </c>
      <c r="M45" s="1" t="s">
        <v>465</v>
      </c>
      <c r="N45" s="1" t="s">
        <v>152</v>
      </c>
      <c r="O45" s="1" t="s">
        <v>482</v>
      </c>
      <c r="P45" s="1" t="s">
        <v>449</v>
      </c>
      <c r="Q45" s="1" t="s">
        <v>60</v>
      </c>
      <c r="R45" s="1" t="s">
        <v>153</v>
      </c>
      <c r="S45" s="19">
        <v>3.32</v>
      </c>
      <c r="T45" s="1">
        <v>7850</v>
      </c>
      <c r="U45" s="14">
        <v>3.32</v>
      </c>
      <c r="V45" s="20" cm="1">
        <f t="array" ref="V45">CalculatePrice(T45,$Q45,$R45,$S45,0,$S45)</f>
        <v>3.32</v>
      </c>
      <c r="W45" s="1">
        <v>7800</v>
      </c>
      <c r="X45" s="14">
        <v>3.32</v>
      </c>
      <c r="Y45" s="20" cm="1">
        <f t="array" ref="Y45">CalculatePrice(W45,$Q45,$R45,$V45,V45,$S45)</f>
        <v>3.32</v>
      </c>
      <c r="Z45" s="1">
        <v>7750</v>
      </c>
      <c r="AA45" s="14">
        <v>3.32</v>
      </c>
      <c r="AB45" s="20" cm="1">
        <f t="array" ref="AB45">CalculatePrice(Z45,$Q45,$R45,$V45,Y45,$S45)</f>
        <v>3.32</v>
      </c>
      <c r="AC45" s="1">
        <v>7700</v>
      </c>
      <c r="AD45" s="14">
        <v>3.32</v>
      </c>
      <c r="AE45" s="20" cm="1">
        <f t="array" ref="AE45">CalculatePrice(AC45,$Q45,$R45,$V45,AB45,$S45)</f>
        <v>3.32</v>
      </c>
      <c r="AF45" s="1">
        <v>7650</v>
      </c>
      <c r="AG45" s="14">
        <v>3.32</v>
      </c>
      <c r="AH45" s="20" cm="1">
        <f t="array" ref="AH45">CalculatePrice(AF45,$Q45,$R45,$V45,AE45,$S45)</f>
        <v>3.32</v>
      </c>
      <c r="AI45" s="1">
        <v>7651</v>
      </c>
      <c r="AJ45" s="14">
        <v>3.32</v>
      </c>
      <c r="AK45" s="20" cm="1">
        <f t="array" ref="AK45">CalculatePrice(AI45,$Q45,$R45,$V45,AH45,$S45)</f>
        <v>3.32</v>
      </c>
      <c r="AL45" s="1">
        <v>7652</v>
      </c>
      <c r="AM45" s="14">
        <v>3.32</v>
      </c>
      <c r="AN45" s="20" cm="1">
        <f t="array" ref="AN45">CalculatePrice(AL45,$Q45,$R45,$V45,AK45,$S45)</f>
        <v>3.32</v>
      </c>
      <c r="AO45" s="1">
        <v>7649</v>
      </c>
      <c r="AP45" s="14">
        <v>3.32</v>
      </c>
      <c r="AQ45" s="20" cm="1">
        <f t="array" ref="AQ45">CalculatePrice(AO45,$Q45,$R45,$V45,AN45,$S45)</f>
        <v>3.32</v>
      </c>
    </row>
    <row r="46" spans="1:43" x14ac:dyDescent="0.25">
      <c r="A46" s="1" t="s">
        <v>293</v>
      </c>
      <c r="B46" s="1">
        <v>1</v>
      </c>
      <c r="C46" s="1">
        <v>506590</v>
      </c>
      <c r="D46" s="1" t="s">
        <v>294</v>
      </c>
      <c r="E46" s="1" t="s">
        <v>295</v>
      </c>
      <c r="F46" s="1" t="s">
        <v>47</v>
      </c>
      <c r="G46" s="1" t="s">
        <v>453</v>
      </c>
      <c r="H46" s="1" t="s">
        <v>48</v>
      </c>
      <c r="I46" s="1" t="s">
        <v>454</v>
      </c>
      <c r="J46" s="1" t="s">
        <v>61</v>
      </c>
      <c r="K46" s="1" t="s">
        <v>62</v>
      </c>
      <c r="L46" s="1" t="s">
        <v>63</v>
      </c>
      <c r="M46" s="1" t="s">
        <v>64</v>
      </c>
      <c r="N46" s="1" t="s">
        <v>290</v>
      </c>
      <c r="O46" s="1" t="s">
        <v>291</v>
      </c>
      <c r="P46" s="1" t="s">
        <v>449</v>
      </c>
      <c r="Q46" s="1" t="s">
        <v>46</v>
      </c>
      <c r="R46" s="1" t="s">
        <v>71</v>
      </c>
      <c r="S46" s="19">
        <v>7.49</v>
      </c>
      <c r="T46" s="1">
        <v>7850</v>
      </c>
      <c r="U46" s="14">
        <v>7.49</v>
      </c>
      <c r="W46" s="1">
        <v>7800</v>
      </c>
      <c r="X46" s="14">
        <v>7.49</v>
      </c>
      <c r="Z46" s="1">
        <v>7750</v>
      </c>
      <c r="AA46" s="14">
        <v>7.69</v>
      </c>
      <c r="AC46" s="1">
        <v>7700</v>
      </c>
      <c r="AD46" s="14">
        <v>7.69</v>
      </c>
      <c r="AF46" s="1">
        <v>7650</v>
      </c>
      <c r="AG46" s="14">
        <v>7.85</v>
      </c>
      <c r="AI46" s="1">
        <v>7651</v>
      </c>
      <c r="AJ46" s="14">
        <v>7.85</v>
      </c>
      <c r="AL46" s="1">
        <v>7652</v>
      </c>
      <c r="AM46" s="14">
        <v>7.85</v>
      </c>
      <c r="AO46" s="1">
        <v>7649</v>
      </c>
      <c r="AP46" s="14">
        <v>7.85</v>
      </c>
    </row>
    <row r="47" spans="1:43" x14ac:dyDescent="0.25">
      <c r="A47" s="1" t="s">
        <v>154</v>
      </c>
      <c r="B47" s="1">
        <v>1</v>
      </c>
      <c r="C47" s="1">
        <v>506599</v>
      </c>
      <c r="D47" s="1" t="s">
        <v>155</v>
      </c>
      <c r="E47" s="1" t="s">
        <v>156</v>
      </c>
      <c r="F47" s="1" t="s">
        <v>49</v>
      </c>
      <c r="G47" s="1" t="s">
        <v>458</v>
      </c>
      <c r="H47" s="1" t="s">
        <v>50</v>
      </c>
      <c r="I47" s="1" t="s">
        <v>459</v>
      </c>
      <c r="J47" s="1" t="s">
        <v>84</v>
      </c>
      <c r="K47" s="1" t="s">
        <v>85</v>
      </c>
      <c r="L47" s="1" t="s">
        <v>86</v>
      </c>
      <c r="M47" s="1" t="s">
        <v>87</v>
      </c>
      <c r="N47" s="1" t="s">
        <v>88</v>
      </c>
      <c r="O47" s="1" t="s">
        <v>89</v>
      </c>
      <c r="P47" s="1" t="s">
        <v>449</v>
      </c>
      <c r="Q47" s="1" t="s">
        <v>60</v>
      </c>
      <c r="R47" s="1" t="s">
        <v>110</v>
      </c>
      <c r="S47" s="19">
        <v>3.98</v>
      </c>
      <c r="T47" s="1">
        <v>7850</v>
      </c>
      <c r="U47" s="14">
        <v>3.98</v>
      </c>
      <c r="V47" s="20" cm="1">
        <f t="array" ref="V47">CalculatePrice(T47,$Q47,$R47,$S47,0,$S47)</f>
        <v>3.98</v>
      </c>
      <c r="W47" s="1">
        <v>7800</v>
      </c>
      <c r="X47" s="14">
        <v>3.98</v>
      </c>
      <c r="Y47" s="20" cm="1">
        <f t="array" ref="Y47">CalculatePrice(W47,$Q47,$R47,$V47,V47,$S47)</f>
        <v>3.98</v>
      </c>
      <c r="Z47" s="1">
        <v>7750</v>
      </c>
      <c r="AA47" s="14">
        <v>3.98</v>
      </c>
      <c r="AB47" s="20" cm="1">
        <f t="array" ref="AB47">CalculatePrice(Z47,$Q47,$R47,$V47,Y47,$S47)</f>
        <v>3.98</v>
      </c>
      <c r="AC47" s="1">
        <v>7700</v>
      </c>
      <c r="AD47" s="14">
        <v>3.98</v>
      </c>
      <c r="AE47" s="20" cm="1">
        <f t="array" ref="AE47">CalculatePrice(AC47,$Q47,$R47,$V47,AB47,$S47)</f>
        <v>3.98</v>
      </c>
      <c r="AF47" s="1">
        <v>7650</v>
      </c>
      <c r="AG47" s="14">
        <v>3.98</v>
      </c>
      <c r="AH47" s="20" cm="1">
        <f t="array" ref="AH47">CalculatePrice(AF47,$Q47,$R47,$V47,AE47,$S47)</f>
        <v>3.98</v>
      </c>
      <c r="AI47" s="1">
        <v>7651</v>
      </c>
      <c r="AJ47" s="14">
        <v>3.98</v>
      </c>
      <c r="AK47" s="20" cm="1">
        <f t="array" ref="AK47">CalculatePrice(AI47,$Q47,$R47,$V47,AH47,$S47)</f>
        <v>3.98</v>
      </c>
      <c r="AL47" s="1">
        <v>7652</v>
      </c>
      <c r="AM47" s="14">
        <v>3.98</v>
      </c>
      <c r="AN47" s="20" cm="1">
        <f t="array" ref="AN47">CalculatePrice(AL47,$Q47,$R47,$V47,AK47,$S47)</f>
        <v>3.98</v>
      </c>
      <c r="AO47" s="1">
        <v>7649</v>
      </c>
      <c r="AP47" s="14">
        <v>3.98</v>
      </c>
      <c r="AQ47" s="20" cm="1">
        <f t="array" ref="AQ47">CalculatePrice(AO47,$Q47,$R47,$V47,AN47,$S47)</f>
        <v>3.98</v>
      </c>
    </row>
    <row r="48" spans="1:43" x14ac:dyDescent="0.25">
      <c r="A48" s="1" t="s">
        <v>296</v>
      </c>
      <c r="B48" s="1">
        <v>1</v>
      </c>
      <c r="C48" s="1">
        <v>506608</v>
      </c>
      <c r="D48" s="1" t="s">
        <v>297</v>
      </c>
      <c r="E48" s="1" t="s">
        <v>298</v>
      </c>
      <c r="F48" s="1" t="s">
        <v>49</v>
      </c>
      <c r="G48" s="1" t="s">
        <v>458</v>
      </c>
      <c r="H48" s="1" t="s">
        <v>50</v>
      </c>
      <c r="I48" s="1" t="s">
        <v>459</v>
      </c>
      <c r="J48" s="1" t="s">
        <v>65</v>
      </c>
      <c r="K48" s="1" t="s">
        <v>66</v>
      </c>
      <c r="L48" s="1" t="s">
        <v>67</v>
      </c>
      <c r="M48" s="1" t="s">
        <v>68</v>
      </c>
      <c r="N48" s="1" t="s">
        <v>116</v>
      </c>
      <c r="O48" s="1" t="s">
        <v>117</v>
      </c>
      <c r="P48" s="1" t="s">
        <v>449</v>
      </c>
      <c r="Q48" s="1" t="s">
        <v>46</v>
      </c>
      <c r="R48" s="1" t="s">
        <v>46</v>
      </c>
      <c r="S48" s="19">
        <v>0.73</v>
      </c>
      <c r="T48" s="1">
        <v>7850</v>
      </c>
      <c r="U48" s="14">
        <v>0.73</v>
      </c>
      <c r="W48" s="1">
        <v>7800</v>
      </c>
      <c r="X48" s="14">
        <v>0.79</v>
      </c>
      <c r="Z48" s="1">
        <v>7750</v>
      </c>
      <c r="AA48" s="14">
        <v>0.79</v>
      </c>
      <c r="AC48" s="1">
        <v>7700</v>
      </c>
      <c r="AD48" s="14">
        <v>0.85</v>
      </c>
      <c r="AF48" s="1">
        <v>7650</v>
      </c>
      <c r="AG48" s="14">
        <v>0.85</v>
      </c>
      <c r="AI48" s="1">
        <v>7651</v>
      </c>
      <c r="AJ48" s="14">
        <v>0.85</v>
      </c>
      <c r="AL48" s="1">
        <v>7652</v>
      </c>
      <c r="AM48" s="14">
        <v>0.89</v>
      </c>
      <c r="AO48" s="1">
        <v>7649</v>
      </c>
      <c r="AP48" s="14">
        <v>0.89</v>
      </c>
    </row>
    <row r="49" spans="1:43" x14ac:dyDescent="0.25">
      <c r="A49" s="1" t="s">
        <v>299</v>
      </c>
      <c r="B49" s="1">
        <v>1</v>
      </c>
      <c r="C49" s="1">
        <v>506617</v>
      </c>
      <c r="D49" s="1" t="s">
        <v>300</v>
      </c>
      <c r="E49" s="1" t="s">
        <v>301</v>
      </c>
      <c r="F49" s="1" t="s">
        <v>44</v>
      </c>
      <c r="G49" s="1" t="s">
        <v>45</v>
      </c>
      <c r="H49" s="1" t="s">
        <v>184</v>
      </c>
      <c r="I49" s="1" t="s">
        <v>446</v>
      </c>
      <c r="J49" s="1" t="s">
        <v>185</v>
      </c>
      <c r="K49" s="1" t="s">
        <v>447</v>
      </c>
      <c r="L49" s="1" t="s">
        <v>186</v>
      </c>
      <c r="M49" s="1" t="s">
        <v>448</v>
      </c>
      <c r="N49" s="1" t="s">
        <v>302</v>
      </c>
      <c r="O49" s="1" t="s">
        <v>303</v>
      </c>
      <c r="P49" s="1" t="s">
        <v>449</v>
      </c>
      <c r="Q49" s="1" t="s">
        <v>189</v>
      </c>
      <c r="R49" s="1" t="s">
        <v>46</v>
      </c>
      <c r="S49" s="19">
        <v>1.49</v>
      </c>
      <c r="T49" s="1">
        <v>7850</v>
      </c>
      <c r="U49" s="14">
        <v>1.49</v>
      </c>
      <c r="V49" s="20" cm="1">
        <f t="array" ref="V49">CalculatePrice(T49,$Q49,$R49,$S49,0,$S49)</f>
        <v>1.49</v>
      </c>
      <c r="W49" s="1">
        <v>7800</v>
      </c>
      <c r="X49" s="14">
        <v>1.49</v>
      </c>
      <c r="Y49" s="20" cm="1">
        <f t="array" ref="Y49">CalculatePrice(W49,$Q49,$R49,$V49,V49,$S49)</f>
        <v>1.49</v>
      </c>
      <c r="Z49" s="1">
        <v>7750</v>
      </c>
      <c r="AA49" s="14">
        <v>1.49</v>
      </c>
      <c r="AB49" s="20" cm="1">
        <f t="array" ref="AB49">CalculatePrice(Z49,$Q49,$R49,$V49,Y49,$S49)</f>
        <v>1.49</v>
      </c>
      <c r="AC49" s="1">
        <v>7700</v>
      </c>
      <c r="AD49" s="14">
        <v>1.49</v>
      </c>
      <c r="AE49" s="20" cm="1">
        <f t="array" ref="AE49">CalculatePrice(AC49,$Q49,$R49,$V49,AB49,$S49)</f>
        <v>1.49</v>
      </c>
      <c r="AF49" s="1">
        <v>7650</v>
      </c>
      <c r="AG49" s="14">
        <v>1.49</v>
      </c>
      <c r="AH49" s="20" cm="1">
        <f t="array" ref="AH49">CalculatePrice(AF49,$Q49,$R49,$V49,AE49,$S49)</f>
        <v>1.49</v>
      </c>
      <c r="AI49" s="1">
        <v>7651</v>
      </c>
      <c r="AJ49" s="14">
        <v>1.49</v>
      </c>
      <c r="AK49" s="20" cm="1">
        <f t="array" ref="AK49">CalculatePrice(AI49,$Q49,$R49,$V49,AH49,$S49)</f>
        <v>1.49</v>
      </c>
      <c r="AL49" s="1">
        <v>7652</v>
      </c>
      <c r="AM49" s="14">
        <v>1.49</v>
      </c>
      <c r="AN49" s="20" cm="1">
        <f t="array" ref="AN49">CalculatePrice(AL49,$Q49,$R49,$V49,AK49,$S49)</f>
        <v>1.49</v>
      </c>
      <c r="AO49" s="1">
        <v>7649</v>
      </c>
      <c r="AP49" s="14">
        <v>1.49</v>
      </c>
      <c r="AQ49" s="20" cm="1">
        <f t="array" ref="AQ49">CalculatePrice(AO49,$Q49,$R49,$V49,AN49,$S49)</f>
        <v>1.49</v>
      </c>
    </row>
    <row r="50" spans="1:43" x14ac:dyDescent="0.25">
      <c r="A50" s="1" t="s">
        <v>299</v>
      </c>
      <c r="B50" s="1">
        <v>2</v>
      </c>
      <c r="C50" s="1">
        <v>773964</v>
      </c>
      <c r="D50" s="1" t="s">
        <v>300</v>
      </c>
      <c r="E50" s="1" t="s">
        <v>299</v>
      </c>
      <c r="F50" s="1" t="s">
        <v>44</v>
      </c>
      <c r="G50" s="1" t="s">
        <v>45</v>
      </c>
      <c r="H50" s="1" t="s">
        <v>184</v>
      </c>
      <c r="I50" s="1" t="s">
        <v>446</v>
      </c>
      <c r="J50" s="1" t="s">
        <v>185</v>
      </c>
      <c r="K50" s="1" t="s">
        <v>447</v>
      </c>
      <c r="L50" s="1" t="s">
        <v>186</v>
      </c>
      <c r="M50" s="1" t="s">
        <v>448</v>
      </c>
      <c r="N50" s="1" t="s">
        <v>302</v>
      </c>
      <c r="O50" s="1" t="s">
        <v>303</v>
      </c>
      <c r="P50" s="1" t="s">
        <v>449</v>
      </c>
      <c r="Q50" s="1" t="s">
        <v>189</v>
      </c>
      <c r="R50" s="1" t="s">
        <v>46</v>
      </c>
      <c r="S50" s="19">
        <v>1.33</v>
      </c>
      <c r="T50" s="1">
        <v>7850</v>
      </c>
      <c r="U50" s="14">
        <v>1.33</v>
      </c>
      <c r="V50" s="20" cm="1">
        <f t="array" ref="V50">CalculatePrice(T50,$Q50,$R50,$S50,0,$S50)</f>
        <v>1.33</v>
      </c>
      <c r="W50" s="1">
        <v>7800</v>
      </c>
      <c r="X50" s="14">
        <v>1.33</v>
      </c>
      <c r="Y50" s="20" cm="1">
        <f t="array" ref="Y50">CalculatePrice(W50,$Q50,$R50,$V50,V50,$S50)</f>
        <v>1.33</v>
      </c>
      <c r="Z50" s="1">
        <v>7750</v>
      </c>
      <c r="AA50" s="14">
        <v>1.33</v>
      </c>
      <c r="AB50" s="20" cm="1">
        <f t="array" ref="AB50">CalculatePrice(Z50,$Q50,$R50,$V50,Y50,$S50)</f>
        <v>1.33</v>
      </c>
      <c r="AC50" s="1">
        <v>7700</v>
      </c>
      <c r="AD50" s="14">
        <v>1.33</v>
      </c>
      <c r="AE50" s="20" cm="1">
        <f t="array" ref="AE50">CalculatePrice(AC50,$Q50,$R50,$V50,AB50,$S50)</f>
        <v>1.33</v>
      </c>
      <c r="AF50" s="1">
        <v>7650</v>
      </c>
      <c r="AH50" s="20" cm="1">
        <f t="array" ref="AH50">CalculatePrice(AF50,$Q50,$R50,$V50,AE50,$S50)</f>
        <v>1.33</v>
      </c>
      <c r="AI50" s="1">
        <v>7651</v>
      </c>
      <c r="AK50" s="20" cm="1">
        <f t="array" ref="AK50">CalculatePrice(AI50,$Q50,$R50,$V50,AH50,$S50)</f>
        <v>1.33</v>
      </c>
      <c r="AL50" s="1">
        <v>7652</v>
      </c>
      <c r="AN50" s="20" cm="1">
        <f t="array" ref="AN50">CalculatePrice(AL50,$Q50,$R50,$V50,AK50,$S50)</f>
        <v>1.33</v>
      </c>
      <c r="AO50" s="1">
        <v>7649</v>
      </c>
      <c r="AQ50" s="20" cm="1">
        <f t="array" ref="AQ50">CalculatePrice(AO50,$Q50,$R50,$V50,AN50,$S50)</f>
        <v>1.33</v>
      </c>
    </row>
    <row r="51" spans="1:43" x14ac:dyDescent="0.25">
      <c r="A51" s="1" t="s">
        <v>304</v>
      </c>
      <c r="B51" s="1">
        <v>2</v>
      </c>
      <c r="C51" s="1">
        <v>701513</v>
      </c>
      <c r="D51" s="1" t="s">
        <v>305</v>
      </c>
      <c r="E51" s="1" t="s">
        <v>306</v>
      </c>
      <c r="F51" s="1" t="s">
        <v>53</v>
      </c>
      <c r="G51" s="1" t="s">
        <v>54</v>
      </c>
      <c r="H51" s="1" t="s">
        <v>55</v>
      </c>
      <c r="I51" s="1" t="s">
        <v>56</v>
      </c>
      <c r="J51" s="1" t="s">
        <v>193</v>
      </c>
      <c r="K51" s="1" t="s">
        <v>194</v>
      </c>
      <c r="L51" s="1" t="s">
        <v>195</v>
      </c>
      <c r="M51" s="1" t="s">
        <v>196</v>
      </c>
      <c r="N51" s="1" t="s">
        <v>197</v>
      </c>
      <c r="O51" s="1" t="s">
        <v>198</v>
      </c>
      <c r="P51" s="1" t="s">
        <v>449</v>
      </c>
      <c r="Q51" s="1" t="s">
        <v>46</v>
      </c>
      <c r="R51" s="1" t="s">
        <v>46</v>
      </c>
      <c r="S51" s="19">
        <v>0</v>
      </c>
      <c r="T51" s="1">
        <v>7850</v>
      </c>
      <c r="W51" s="1">
        <v>7800</v>
      </c>
      <c r="Z51" s="1">
        <v>7750</v>
      </c>
      <c r="AC51" s="1">
        <v>7700</v>
      </c>
      <c r="AF51" s="1">
        <v>7650</v>
      </c>
      <c r="AI51" s="1">
        <v>7651</v>
      </c>
      <c r="AL51" s="1">
        <v>7652</v>
      </c>
      <c r="AO51" s="1">
        <v>7649</v>
      </c>
    </row>
    <row r="52" spans="1:43" x14ac:dyDescent="0.25">
      <c r="A52" s="1" t="s">
        <v>304</v>
      </c>
      <c r="B52" s="1">
        <v>1</v>
      </c>
      <c r="C52" s="1">
        <v>506622</v>
      </c>
      <c r="D52" s="1" t="s">
        <v>307</v>
      </c>
      <c r="E52" s="1" t="s">
        <v>308</v>
      </c>
      <c r="F52" s="1" t="s">
        <v>53</v>
      </c>
      <c r="G52" s="1" t="s">
        <v>54</v>
      </c>
      <c r="H52" s="1" t="s">
        <v>55</v>
      </c>
      <c r="I52" s="1" t="s">
        <v>56</v>
      </c>
      <c r="J52" s="1" t="s">
        <v>193</v>
      </c>
      <c r="K52" s="1" t="s">
        <v>194</v>
      </c>
      <c r="L52" s="1" t="s">
        <v>195</v>
      </c>
      <c r="M52" s="1" t="s">
        <v>196</v>
      </c>
      <c r="N52" s="1" t="s">
        <v>197</v>
      </c>
      <c r="O52" s="1" t="s">
        <v>198</v>
      </c>
      <c r="P52" s="1" t="s">
        <v>449</v>
      </c>
      <c r="Q52" s="1" t="s">
        <v>57</v>
      </c>
      <c r="R52" s="1" t="s">
        <v>46</v>
      </c>
      <c r="S52" s="19">
        <v>4.5999999999999996</v>
      </c>
      <c r="T52" s="1">
        <v>7850</v>
      </c>
      <c r="U52" s="14">
        <v>4.5999999999999996</v>
      </c>
      <c r="V52" s="20" cm="1">
        <f t="array" ref="V52">CalculatePrice(T52,$Q52,$R52,$S52,0,$S52)</f>
        <v>4.5999999999999996</v>
      </c>
      <c r="W52" s="1">
        <v>7800</v>
      </c>
      <c r="X52" s="14">
        <v>4.5999999999999996</v>
      </c>
      <c r="Y52" s="20" cm="1">
        <f t="array" ref="Y52">CalculatePrice(W52,$Q52,$R52,$V52,V52,$S52)</f>
        <v>4.5999999999999996</v>
      </c>
      <c r="Z52" s="1">
        <v>7750</v>
      </c>
      <c r="AA52" s="14">
        <v>4.5999999999999996</v>
      </c>
      <c r="AB52" s="20" cm="1">
        <f t="array" ref="AB52">CalculatePrice(Z52,$Q52,$R52,$V52,Y52,$S52)</f>
        <v>4.5999999999999996</v>
      </c>
      <c r="AC52" s="1">
        <v>7700</v>
      </c>
      <c r="AD52" s="14">
        <v>4.5999999999999996</v>
      </c>
      <c r="AE52" s="20" cm="1">
        <f t="array" ref="AE52">CalculatePrice(AC52,$Q52,$R52,$V52,AB52,$S52)</f>
        <v>4.5999999999999996</v>
      </c>
      <c r="AF52" s="1">
        <v>7650</v>
      </c>
      <c r="AH52" s="20" cm="1">
        <f t="array" ref="AH52">CalculatePrice(AF52,$Q52,$R52,$V52,AE52,$S52)</f>
        <v>4.5999999999999996</v>
      </c>
      <c r="AI52" s="1">
        <v>7651</v>
      </c>
      <c r="AK52" s="20" cm="1">
        <f t="array" ref="AK52">CalculatePrice(AI52,$Q52,$R52,$V52,AH52,$S52)</f>
        <v>4.5999999999999996</v>
      </c>
      <c r="AL52" s="1">
        <v>7652</v>
      </c>
      <c r="AN52" s="20" cm="1">
        <f t="array" ref="AN52">CalculatePrice(AL52,$Q52,$R52,$V52,AK52,$S52)</f>
        <v>4.5999999999999996</v>
      </c>
      <c r="AO52" s="1">
        <v>7649</v>
      </c>
      <c r="AP52" s="14">
        <v>4.5999999999999996</v>
      </c>
      <c r="AQ52" s="20" cm="1">
        <f t="array" ref="AQ52">CalculatePrice(AO52,$Q52,$R52,$V52,AN52,$S52)</f>
        <v>4.5999999999999996</v>
      </c>
    </row>
    <row r="53" spans="1:43" x14ac:dyDescent="0.25">
      <c r="A53" s="1" t="s">
        <v>309</v>
      </c>
      <c r="B53" s="1">
        <v>1</v>
      </c>
      <c r="C53" s="1">
        <v>506633</v>
      </c>
      <c r="D53" s="1" t="s">
        <v>310</v>
      </c>
      <c r="E53" s="1" t="s">
        <v>311</v>
      </c>
      <c r="F53" s="1" t="s">
        <v>47</v>
      </c>
      <c r="G53" s="1" t="s">
        <v>453</v>
      </c>
      <c r="H53" s="1" t="s">
        <v>78</v>
      </c>
      <c r="I53" s="1" t="s">
        <v>79</v>
      </c>
      <c r="J53" s="1" t="s">
        <v>80</v>
      </c>
      <c r="K53" s="1" t="s">
        <v>81</v>
      </c>
      <c r="L53" s="1" t="s">
        <v>82</v>
      </c>
      <c r="M53" s="1" t="s">
        <v>83</v>
      </c>
      <c r="N53" s="1" t="s">
        <v>140</v>
      </c>
      <c r="O53" s="1" t="s">
        <v>141</v>
      </c>
      <c r="P53" s="1" t="s">
        <v>449</v>
      </c>
      <c r="Q53" s="1" t="s">
        <v>46</v>
      </c>
      <c r="R53" s="1" t="s">
        <v>46</v>
      </c>
      <c r="S53" s="19">
        <v>2.4900000000000002</v>
      </c>
      <c r="T53" s="1">
        <v>7850</v>
      </c>
      <c r="U53" s="14">
        <v>2.4900000000000002</v>
      </c>
      <c r="V53" s="20" cm="1">
        <f t="array" ref="V53">CalculatePrice(T53,$Q53,$R53,$S53,0,$S53)</f>
        <v>2.4900000000000002</v>
      </c>
      <c r="W53" s="1">
        <v>7800</v>
      </c>
      <c r="X53" s="14">
        <v>2.69</v>
      </c>
      <c r="Y53" s="20" cm="1">
        <f t="array" ref="Y53">CalculatePrice(W53,$Q53,$R53,$V53,V53,$S53)</f>
        <v>2.6500000000000004</v>
      </c>
      <c r="Z53" s="1">
        <v>7750</v>
      </c>
      <c r="AA53" s="14">
        <v>2.99</v>
      </c>
      <c r="AB53" s="20" cm="1">
        <f t="array" ref="AB53">CalculatePrice(Z53,$Q53,$R53,$V53,Y53,$S53)</f>
        <v>2.75</v>
      </c>
      <c r="AC53" s="1">
        <v>7700</v>
      </c>
      <c r="AD53" s="14">
        <v>2.99</v>
      </c>
      <c r="AE53" s="20" cm="1">
        <f t="array" ref="AE53">CalculatePrice(AC53,$Q53,$R53,$V53,AB53,$S53)</f>
        <v>2.7900000000000005</v>
      </c>
      <c r="AF53" s="1">
        <v>7650</v>
      </c>
      <c r="AG53" s="14">
        <v>2.99</v>
      </c>
      <c r="AH53" s="20" cm="1">
        <f t="array" ref="AH53">CalculatePrice(AF53,$Q53,$R53,$V53,AE53,$S53)</f>
        <v>2.85</v>
      </c>
      <c r="AI53" s="1">
        <v>7651</v>
      </c>
      <c r="AJ53" s="14">
        <v>2.99</v>
      </c>
      <c r="AK53" s="20" cm="1">
        <f t="array" ref="AK53">CalculatePrice(AI53,$Q53,$R53,$V53,AH53,$S53)</f>
        <v>2.8900000000000006</v>
      </c>
      <c r="AL53" s="1">
        <v>7652</v>
      </c>
      <c r="AM53" s="14">
        <v>2.99</v>
      </c>
      <c r="AN53" s="20" cm="1">
        <f t="array" ref="AN53">CalculatePrice(AL53,$Q53,$R53,$V53,AK53,$S53)</f>
        <v>2.95</v>
      </c>
      <c r="AO53" s="1">
        <v>7649</v>
      </c>
      <c r="AP53" s="14">
        <v>2.99</v>
      </c>
    </row>
    <row r="54" spans="1:43" x14ac:dyDescent="0.25">
      <c r="A54" s="1" t="s">
        <v>312</v>
      </c>
      <c r="B54" s="1">
        <v>1</v>
      </c>
      <c r="C54" s="1">
        <v>506642</v>
      </c>
      <c r="D54" s="1" t="s">
        <v>313</v>
      </c>
      <c r="E54" s="1" t="s">
        <v>314</v>
      </c>
      <c r="F54" s="1" t="s">
        <v>47</v>
      </c>
      <c r="G54" s="1" t="s">
        <v>453</v>
      </c>
      <c r="H54" s="1" t="s">
        <v>48</v>
      </c>
      <c r="I54" s="1" t="s">
        <v>454</v>
      </c>
      <c r="J54" s="1" t="s">
        <v>61</v>
      </c>
      <c r="K54" s="1" t="s">
        <v>62</v>
      </c>
      <c r="L54" s="1" t="s">
        <v>63</v>
      </c>
      <c r="M54" s="1" t="s">
        <v>64</v>
      </c>
      <c r="N54" s="1" t="s">
        <v>290</v>
      </c>
      <c r="O54" s="1" t="s">
        <v>291</v>
      </c>
      <c r="P54" s="1" t="s">
        <v>449</v>
      </c>
      <c r="Q54" s="1" t="s">
        <v>46</v>
      </c>
      <c r="R54" s="1" t="s">
        <v>46</v>
      </c>
      <c r="S54" s="19">
        <v>4.25</v>
      </c>
      <c r="T54" s="1">
        <v>7850</v>
      </c>
      <c r="U54" s="14">
        <v>4.25</v>
      </c>
      <c r="V54" s="20" cm="1">
        <f t="array" ref="V54">CalculatePrice(T54,$Q54,$R54,$S54,0,$S54)</f>
        <v>4.25</v>
      </c>
      <c r="W54" s="1">
        <v>7800</v>
      </c>
      <c r="X54" s="14">
        <v>4.49</v>
      </c>
      <c r="Y54" s="20" cm="1">
        <f t="array" ref="Y54">CalculatePrice(W54,$Q54,$R54,$V54,V54,$S54)</f>
        <v>4.49</v>
      </c>
      <c r="Z54" s="1">
        <v>7750</v>
      </c>
      <c r="AA54" s="14">
        <v>4.99</v>
      </c>
      <c r="AB54" s="20" cm="1">
        <f t="array" ref="AB54">CalculatePrice(Z54,$Q54,$R54,$V54,Y54,$S54)</f>
        <v>4.6900000000000004</v>
      </c>
      <c r="AC54" s="1">
        <v>7700</v>
      </c>
      <c r="AD54" s="14">
        <v>4.99</v>
      </c>
      <c r="AE54" s="20" cm="1">
        <f t="array" ref="AE54">CalculatePrice(AC54,$Q54,$R54,$V54,AB54,$S54)</f>
        <v>4.75</v>
      </c>
      <c r="AF54" s="1">
        <v>7650</v>
      </c>
      <c r="AG54" s="14">
        <v>4.99</v>
      </c>
      <c r="AH54" s="20" cm="1">
        <f t="array" ref="AH54">CalculatePrice(AF54,$Q54,$R54,$V54,AE54,$S54)</f>
        <v>4.8500000000000005</v>
      </c>
      <c r="AI54" s="1">
        <v>7651</v>
      </c>
      <c r="AJ54" s="14">
        <v>4.99</v>
      </c>
      <c r="AK54" s="20" cm="1">
        <f t="array" ref="AK54">CalculatePrice(AI54,$Q54,$R54,$V54,AH54,$S54)</f>
        <v>4.95</v>
      </c>
      <c r="AL54" s="1">
        <v>7652</v>
      </c>
      <c r="AM54" s="14">
        <v>4.99</v>
      </c>
      <c r="AN54" s="20" cm="1">
        <f t="array" ref="AN54">CalculatePrice(AL54,$Q54,$R54,$V54,AK54,$S54)</f>
        <v>4.99</v>
      </c>
      <c r="AO54" s="1">
        <v>7649</v>
      </c>
      <c r="AP54" s="14">
        <v>5.29</v>
      </c>
    </row>
    <row r="55" spans="1:43" x14ac:dyDescent="0.25">
      <c r="A55" s="1" t="s">
        <v>315</v>
      </c>
      <c r="B55" s="1">
        <v>1</v>
      </c>
      <c r="C55" s="1">
        <v>653000</v>
      </c>
      <c r="D55" s="1" t="s">
        <v>483</v>
      </c>
      <c r="E55" s="1" t="s">
        <v>315</v>
      </c>
      <c r="F55" s="1" t="s">
        <v>44</v>
      </c>
      <c r="G55" s="1" t="s">
        <v>45</v>
      </c>
      <c r="H55" s="1" t="s">
        <v>58</v>
      </c>
      <c r="I55" s="1" t="s">
        <v>59</v>
      </c>
      <c r="J55" s="1" t="s">
        <v>203</v>
      </c>
      <c r="K55" s="1" t="s">
        <v>204</v>
      </c>
      <c r="L55" s="1" t="s">
        <v>316</v>
      </c>
      <c r="M55" s="1" t="s">
        <v>484</v>
      </c>
      <c r="N55" s="1" t="s">
        <v>317</v>
      </c>
      <c r="O55" s="1" t="s">
        <v>484</v>
      </c>
      <c r="P55" s="1" t="s">
        <v>449</v>
      </c>
      <c r="Q55" s="1" t="s">
        <v>60</v>
      </c>
      <c r="R55" s="1" t="s">
        <v>46</v>
      </c>
      <c r="S55" s="19">
        <v>11.94</v>
      </c>
      <c r="T55" s="1">
        <v>7850</v>
      </c>
      <c r="U55" s="14">
        <v>11.94</v>
      </c>
      <c r="V55" s="20" cm="1">
        <f t="array" ref="V55">CalculatePrice(T55,$Q55,$R55,$S55,0,$S55)</f>
        <v>11.94</v>
      </c>
      <c r="W55" s="1">
        <v>7800</v>
      </c>
      <c r="X55" s="14">
        <v>11.94</v>
      </c>
      <c r="Y55" s="20" cm="1">
        <f t="array" ref="Y55">CalculatePrice(W55,$Q55,$R55,$V55,V55,$S55)</f>
        <v>11.94</v>
      </c>
      <c r="Z55" s="1">
        <v>7750</v>
      </c>
      <c r="AA55" s="14">
        <v>11.94</v>
      </c>
      <c r="AB55" s="20" cm="1">
        <f t="array" ref="AB55">CalculatePrice(Z55,$Q55,$R55,$V55,Y55,$S55)</f>
        <v>11.94</v>
      </c>
      <c r="AC55" s="1">
        <v>7700</v>
      </c>
      <c r="AD55" s="14">
        <v>11.94</v>
      </c>
      <c r="AE55" s="20" cm="1">
        <f t="array" ref="AE55">CalculatePrice(AC55,$Q55,$R55,$V55,AB55,$S55)</f>
        <v>11.94</v>
      </c>
      <c r="AF55" s="1">
        <v>7650</v>
      </c>
      <c r="AH55" s="20" cm="1">
        <f t="array" ref="AH55">CalculatePrice(AF55,$Q55,$R55,$V55,AE55,$S55)</f>
        <v>11.94</v>
      </c>
      <c r="AI55" s="1">
        <v>7651</v>
      </c>
      <c r="AK55" s="20" cm="1">
        <f t="array" ref="AK55">CalculatePrice(AI55,$Q55,$R55,$V55,AH55,$S55)</f>
        <v>11.94</v>
      </c>
      <c r="AL55" s="1">
        <v>7652</v>
      </c>
      <c r="AN55" s="20" cm="1">
        <f t="array" ref="AN55">CalculatePrice(AL55,$Q55,$R55,$V55,AK55,$S55)</f>
        <v>11.94</v>
      </c>
      <c r="AO55" s="1">
        <v>7649</v>
      </c>
      <c r="AP55" s="14">
        <v>11.94</v>
      </c>
      <c r="AQ55" s="20" cm="1">
        <f t="array" ref="AQ55">CalculatePrice(AO55,$Q55,$R55,$V55,AN55,$S55)</f>
        <v>11.94</v>
      </c>
    </row>
    <row r="56" spans="1:43" x14ac:dyDescent="0.25">
      <c r="A56" s="1" t="s">
        <v>157</v>
      </c>
      <c r="B56" s="1">
        <v>1</v>
      </c>
      <c r="C56" s="1">
        <v>506651</v>
      </c>
      <c r="D56" s="1" t="s">
        <v>158</v>
      </c>
      <c r="E56" s="1" t="s">
        <v>159</v>
      </c>
      <c r="F56" s="1" t="s">
        <v>47</v>
      </c>
      <c r="G56" s="1" t="s">
        <v>453</v>
      </c>
      <c r="H56" s="1" t="s">
        <v>48</v>
      </c>
      <c r="I56" s="1" t="s">
        <v>454</v>
      </c>
      <c r="J56" s="1" t="s">
        <v>69</v>
      </c>
      <c r="K56" s="1" t="s">
        <v>70</v>
      </c>
      <c r="L56" s="1" t="s">
        <v>122</v>
      </c>
      <c r="M56" s="1" t="s">
        <v>123</v>
      </c>
      <c r="N56" s="1" t="s">
        <v>124</v>
      </c>
      <c r="O56" s="1" t="s">
        <v>125</v>
      </c>
      <c r="P56" s="1" t="s">
        <v>449</v>
      </c>
      <c r="Q56" s="1" t="s">
        <v>46</v>
      </c>
      <c r="R56" s="1" t="s">
        <v>110</v>
      </c>
      <c r="S56" s="19">
        <v>0.69</v>
      </c>
      <c r="T56" s="1">
        <v>7850</v>
      </c>
      <c r="U56" s="14">
        <v>0.69</v>
      </c>
      <c r="V56" s="20" cm="1">
        <f t="array" ref="V56">CalculatePrice(T56,$Q56,$R56,$S56,0,$S56)</f>
        <v>0.69</v>
      </c>
      <c r="W56" s="1">
        <v>7800</v>
      </c>
      <c r="X56" s="14">
        <v>0.75</v>
      </c>
      <c r="Y56" s="20" cm="1">
        <f t="array" ref="Y56">CalculatePrice(W56,$Q56,$R56,$V56,V56,$S56)</f>
        <v>0.69</v>
      </c>
      <c r="Z56" s="1">
        <v>7750</v>
      </c>
      <c r="AA56" s="14">
        <v>0.79</v>
      </c>
      <c r="AB56" s="20" cm="1">
        <f t="array" ref="AB56">CalculatePrice(Z56,$Q56,$R56,$V56,Y56,$S56)</f>
        <v>0.69</v>
      </c>
      <c r="AC56" s="1">
        <v>7700</v>
      </c>
      <c r="AD56" s="14">
        <v>0.79</v>
      </c>
      <c r="AF56" s="1">
        <v>7650</v>
      </c>
      <c r="AG56" s="14">
        <v>0.79</v>
      </c>
      <c r="AI56" s="1">
        <v>7651</v>
      </c>
      <c r="AJ56" s="14">
        <v>0.79</v>
      </c>
      <c r="AL56" s="1">
        <v>7652</v>
      </c>
      <c r="AM56" s="14">
        <v>0.79</v>
      </c>
      <c r="AO56" s="1">
        <v>7649</v>
      </c>
      <c r="AP56" s="14">
        <v>0.85</v>
      </c>
    </row>
    <row r="57" spans="1:43" x14ac:dyDescent="0.25">
      <c r="A57" s="1" t="s">
        <v>318</v>
      </c>
      <c r="B57" s="1">
        <v>1</v>
      </c>
      <c r="C57" s="1">
        <v>653003</v>
      </c>
      <c r="D57" s="1" t="s">
        <v>319</v>
      </c>
      <c r="E57" s="1" t="s">
        <v>320</v>
      </c>
      <c r="F57" s="1" t="s">
        <v>44</v>
      </c>
      <c r="G57" s="1" t="s">
        <v>45</v>
      </c>
      <c r="H57" s="1" t="s">
        <v>58</v>
      </c>
      <c r="I57" s="1" t="s">
        <v>59</v>
      </c>
      <c r="J57" s="1" t="s">
        <v>203</v>
      </c>
      <c r="K57" s="1" t="s">
        <v>204</v>
      </c>
      <c r="L57" s="1" t="s">
        <v>229</v>
      </c>
      <c r="M57" s="1" t="s">
        <v>230</v>
      </c>
      <c r="N57" s="1" t="s">
        <v>231</v>
      </c>
      <c r="O57" s="1" t="s">
        <v>230</v>
      </c>
      <c r="P57" s="1" t="s">
        <v>449</v>
      </c>
      <c r="Q57" s="1" t="s">
        <v>60</v>
      </c>
      <c r="R57" s="1" t="s">
        <v>46</v>
      </c>
      <c r="S57" s="19">
        <v>6.39</v>
      </c>
      <c r="T57" s="1">
        <v>7850</v>
      </c>
      <c r="U57" s="14">
        <v>6.39</v>
      </c>
      <c r="V57" s="20" cm="1">
        <f t="array" ref="V57">CalculatePrice(T57,$Q57,$R57,$S57,0,$S57)</f>
        <v>6.39</v>
      </c>
      <c r="W57" s="1">
        <v>7800</v>
      </c>
      <c r="X57" s="14">
        <v>6.39</v>
      </c>
      <c r="Y57" s="20" cm="1">
        <f t="array" ref="Y57">CalculatePrice(W57,$Q57,$R57,$V57,V57,$S57)</f>
        <v>6.39</v>
      </c>
      <c r="Z57" s="1">
        <v>7750</v>
      </c>
      <c r="AA57" s="14">
        <v>6.39</v>
      </c>
      <c r="AB57" s="20" cm="1">
        <f t="array" ref="AB57">CalculatePrice(Z57,$Q57,$R57,$V57,Y57,$S57)</f>
        <v>6.39</v>
      </c>
      <c r="AC57" s="1">
        <v>7700</v>
      </c>
      <c r="AD57" s="14">
        <v>6.39</v>
      </c>
      <c r="AE57" s="20" cm="1">
        <f t="array" ref="AE57">CalculatePrice(AC57,$Q57,$R57,$V57,AB57,$S57)</f>
        <v>6.39</v>
      </c>
      <c r="AF57" s="1">
        <v>7650</v>
      </c>
      <c r="AH57" s="20" cm="1">
        <f t="array" ref="AH57">CalculatePrice(AF57,$Q57,$R57,$V57,AE57,$S57)</f>
        <v>6.39</v>
      </c>
      <c r="AI57" s="1">
        <v>7651</v>
      </c>
      <c r="AK57" s="20" cm="1">
        <f t="array" ref="AK57">CalculatePrice(AI57,$Q57,$R57,$V57,AH57,$S57)</f>
        <v>6.39</v>
      </c>
      <c r="AL57" s="1">
        <v>7652</v>
      </c>
      <c r="AN57" s="20" cm="1">
        <f t="array" ref="AN57">CalculatePrice(AL57,$Q57,$R57,$V57,AK57,$S57)</f>
        <v>6.39</v>
      </c>
      <c r="AO57" s="1">
        <v>7649</v>
      </c>
      <c r="AP57" s="14">
        <v>6.39</v>
      </c>
      <c r="AQ57" s="20" cm="1">
        <f t="array" ref="AQ57">CalculatePrice(AO57,$Q57,$R57,$V57,AN57,$S57)</f>
        <v>6.39</v>
      </c>
    </row>
    <row r="58" spans="1:43" x14ac:dyDescent="0.25">
      <c r="A58" s="1" t="s">
        <v>160</v>
      </c>
      <c r="B58" s="1">
        <v>1</v>
      </c>
      <c r="C58" s="1">
        <v>506660</v>
      </c>
      <c r="D58" s="1" t="s">
        <v>485</v>
      </c>
      <c r="E58" s="1" t="s">
        <v>161</v>
      </c>
      <c r="F58" s="1" t="s">
        <v>53</v>
      </c>
      <c r="G58" s="1" t="s">
        <v>54</v>
      </c>
      <c r="H58" s="1" t="s">
        <v>55</v>
      </c>
      <c r="I58" s="1" t="s">
        <v>56</v>
      </c>
      <c r="J58" s="1" t="s">
        <v>90</v>
      </c>
      <c r="K58" s="1" t="s">
        <v>486</v>
      </c>
      <c r="L58" s="1" t="s">
        <v>91</v>
      </c>
      <c r="M58" s="1" t="s">
        <v>487</v>
      </c>
      <c r="N58" s="1" t="s">
        <v>92</v>
      </c>
      <c r="O58" s="1" t="s">
        <v>487</v>
      </c>
      <c r="P58" s="1" t="s">
        <v>449</v>
      </c>
      <c r="Q58" s="1" t="s">
        <v>57</v>
      </c>
      <c r="R58" s="1" t="s">
        <v>153</v>
      </c>
      <c r="S58" s="19">
        <v>0.08</v>
      </c>
      <c r="T58" s="1">
        <v>7850</v>
      </c>
      <c r="U58" s="14">
        <v>0.08</v>
      </c>
      <c r="V58" s="20" cm="1">
        <f t="array" ref="V58">CalculatePrice(T58,$Q58,$R58,$S58,0,$S58)</f>
        <v>0.08</v>
      </c>
      <c r="W58" s="1">
        <v>7800</v>
      </c>
      <c r="X58" s="14">
        <v>0.08</v>
      </c>
      <c r="Y58" s="20" cm="1">
        <f t="array" ref="Y58">CalculatePrice(W58,$Q58,$R58,$V58,V58,$S58)</f>
        <v>0.08</v>
      </c>
      <c r="Z58" s="1">
        <v>7750</v>
      </c>
      <c r="AA58" s="14">
        <v>0.08</v>
      </c>
      <c r="AB58" s="20" cm="1">
        <f t="array" ref="AB58">CalculatePrice(Z58,$Q58,$R58,$V58,Y58,$S58)</f>
        <v>0.08</v>
      </c>
      <c r="AC58" s="1">
        <v>7700</v>
      </c>
      <c r="AD58" s="14">
        <v>0.08</v>
      </c>
      <c r="AE58" s="20" cm="1">
        <f t="array" ref="AE58">CalculatePrice(AC58,$Q58,$R58,$V58,AB58,$S58)</f>
        <v>0.08</v>
      </c>
      <c r="AF58" s="1">
        <v>7650</v>
      </c>
      <c r="AH58" s="20" cm="1">
        <f t="array" ref="AH58">CalculatePrice(AF58,$Q58,$R58,$V58,AE58,$S58)</f>
        <v>0.08</v>
      </c>
      <c r="AI58" s="1">
        <v>7651</v>
      </c>
      <c r="AK58" s="20" cm="1">
        <f t="array" ref="AK58">CalculatePrice(AI58,$Q58,$R58,$V58,AH58,$S58)</f>
        <v>0.08</v>
      </c>
      <c r="AL58" s="1">
        <v>7652</v>
      </c>
      <c r="AN58" s="20" cm="1">
        <f t="array" ref="AN58">CalculatePrice(AL58,$Q58,$R58,$V58,AK58,$S58)</f>
        <v>0.08</v>
      </c>
      <c r="AO58" s="1">
        <v>7649</v>
      </c>
      <c r="AP58" s="14">
        <v>0.08</v>
      </c>
      <c r="AQ58" s="20" cm="1">
        <f t="array" ref="AQ58">CalculatePrice(AO58,$Q58,$R58,$V58,AN58,$S58)</f>
        <v>0.08</v>
      </c>
    </row>
    <row r="59" spans="1:43" x14ac:dyDescent="0.25">
      <c r="A59" s="1" t="s">
        <v>321</v>
      </c>
      <c r="B59" s="1">
        <v>1</v>
      </c>
      <c r="C59" s="1">
        <v>506669</v>
      </c>
      <c r="D59" s="1" t="s">
        <v>322</v>
      </c>
      <c r="E59" s="1" t="s">
        <v>323</v>
      </c>
      <c r="F59" s="1" t="s">
        <v>49</v>
      </c>
      <c r="G59" s="1" t="s">
        <v>458</v>
      </c>
      <c r="H59" s="1" t="s">
        <v>50</v>
      </c>
      <c r="I59" s="1" t="s">
        <v>459</v>
      </c>
      <c r="J59" s="1" t="s">
        <v>93</v>
      </c>
      <c r="K59" s="1" t="s">
        <v>94</v>
      </c>
      <c r="L59" s="1" t="s">
        <v>324</v>
      </c>
      <c r="M59" s="1" t="s">
        <v>325</v>
      </c>
      <c r="N59" s="1" t="s">
        <v>326</v>
      </c>
      <c r="O59" s="1" t="s">
        <v>95</v>
      </c>
      <c r="P59" s="1" t="s">
        <v>449</v>
      </c>
      <c r="Q59" s="1" t="s">
        <v>46</v>
      </c>
      <c r="R59" s="1" t="s">
        <v>46</v>
      </c>
      <c r="S59" s="19">
        <v>1.89</v>
      </c>
      <c r="T59" s="1">
        <v>7850</v>
      </c>
      <c r="U59" s="14">
        <v>1.89</v>
      </c>
      <c r="V59" s="20" cm="1">
        <f t="array" ref="V59">CalculatePrice(T59,$Q59,$R59,$S59,0,$S59)</f>
        <v>1.89</v>
      </c>
      <c r="W59" s="1">
        <v>7800</v>
      </c>
      <c r="X59" s="14">
        <v>2.29</v>
      </c>
      <c r="Y59" s="20" cm="1">
        <f t="array" ref="Y59">CalculatePrice(W59,$Q59,$R59,$V59,V59,$S59)</f>
        <v>2.0500000000000003</v>
      </c>
      <c r="Z59" s="1">
        <v>7750</v>
      </c>
      <c r="AA59" s="14">
        <v>2.29</v>
      </c>
      <c r="AB59" s="20" cm="1">
        <f t="array" ref="AB59">CalculatePrice(Z59,$Q59,$R59,$V59,Y59,$S59)</f>
        <v>2.15</v>
      </c>
      <c r="AC59" s="1">
        <v>7700</v>
      </c>
      <c r="AD59" s="14">
        <v>2.29</v>
      </c>
      <c r="AF59" s="1">
        <v>7650</v>
      </c>
      <c r="AG59" s="14">
        <v>2.29</v>
      </c>
      <c r="AI59" s="1">
        <v>7651</v>
      </c>
      <c r="AJ59" s="14">
        <v>2.29</v>
      </c>
      <c r="AL59" s="1">
        <v>7652</v>
      </c>
      <c r="AM59" s="14">
        <v>2.29</v>
      </c>
      <c r="AO59" s="1">
        <v>7649</v>
      </c>
      <c r="AP59" s="14">
        <v>2.4900000000000002</v>
      </c>
    </row>
    <row r="60" spans="1:43" x14ac:dyDescent="0.25">
      <c r="A60" s="1" t="s">
        <v>327</v>
      </c>
      <c r="B60" s="1">
        <v>1</v>
      </c>
      <c r="C60" s="1">
        <v>506678</v>
      </c>
      <c r="D60" s="1" t="s">
        <v>328</v>
      </c>
      <c r="E60" s="1" t="s">
        <v>329</v>
      </c>
      <c r="F60" s="1" t="s">
        <v>53</v>
      </c>
      <c r="G60" s="1" t="s">
        <v>54</v>
      </c>
      <c r="H60" s="1" t="s">
        <v>55</v>
      </c>
      <c r="I60" s="1" t="s">
        <v>56</v>
      </c>
      <c r="J60" s="1" t="s">
        <v>193</v>
      </c>
      <c r="K60" s="1" t="s">
        <v>194</v>
      </c>
      <c r="L60" s="1" t="s">
        <v>195</v>
      </c>
      <c r="M60" s="1" t="s">
        <v>196</v>
      </c>
      <c r="N60" s="1" t="s">
        <v>197</v>
      </c>
      <c r="O60" s="1" t="s">
        <v>198</v>
      </c>
      <c r="P60" s="1" t="s">
        <v>449</v>
      </c>
      <c r="Q60" s="1" t="s">
        <v>57</v>
      </c>
      <c r="R60" s="1" t="s">
        <v>46</v>
      </c>
      <c r="S60" s="19">
        <v>4.2</v>
      </c>
      <c r="T60" s="1">
        <v>7850</v>
      </c>
      <c r="U60" s="14">
        <v>4.2</v>
      </c>
      <c r="V60" s="20" cm="1">
        <f t="array" ref="V60">CalculatePrice(T60,$Q60,$R60,$S60,0,$S60)</f>
        <v>4.2</v>
      </c>
      <c r="W60" s="1">
        <v>7800</v>
      </c>
      <c r="X60" s="14">
        <v>4.2</v>
      </c>
      <c r="Y60" s="20" cm="1">
        <f t="array" ref="Y60">CalculatePrice(W60,$Q60,$R60,$V60,V60,$S60)</f>
        <v>4.2</v>
      </c>
      <c r="Z60" s="1">
        <v>7750</v>
      </c>
      <c r="AA60" s="14">
        <v>4.2</v>
      </c>
      <c r="AB60" s="20" cm="1">
        <f t="array" ref="AB60">CalculatePrice(Z60,$Q60,$R60,$V60,Y60,$S60)</f>
        <v>4.2</v>
      </c>
      <c r="AC60" s="1">
        <v>7700</v>
      </c>
      <c r="AD60" s="14">
        <v>4.2</v>
      </c>
      <c r="AE60" s="20" cm="1">
        <f t="array" ref="AE60">CalculatePrice(AC60,$Q60,$R60,$V60,AB60,$S60)</f>
        <v>4.2</v>
      </c>
      <c r="AF60" s="1">
        <v>7650</v>
      </c>
      <c r="AH60" s="20" cm="1">
        <f t="array" ref="AH60">CalculatePrice(AF60,$Q60,$R60,$V60,AE60,$S60)</f>
        <v>4.2</v>
      </c>
      <c r="AI60" s="1">
        <v>7651</v>
      </c>
      <c r="AK60" s="20" cm="1">
        <f t="array" ref="AK60">CalculatePrice(AI60,$Q60,$R60,$V60,AH60,$S60)</f>
        <v>4.2</v>
      </c>
      <c r="AL60" s="1">
        <v>7652</v>
      </c>
      <c r="AN60" s="20" cm="1">
        <f t="array" ref="AN60">CalculatePrice(AL60,$Q60,$R60,$V60,AK60,$S60)</f>
        <v>4.2</v>
      </c>
      <c r="AO60" s="1">
        <v>7649</v>
      </c>
      <c r="AP60" s="14">
        <v>4.2</v>
      </c>
      <c r="AQ60" s="20" cm="1">
        <f t="array" ref="AQ60">CalculatePrice(AO60,$Q60,$R60,$V60,AN60,$S60)</f>
        <v>4.2</v>
      </c>
    </row>
    <row r="61" spans="1:43" x14ac:dyDescent="0.25">
      <c r="A61" s="1" t="s">
        <v>327</v>
      </c>
      <c r="B61" s="1">
        <v>2</v>
      </c>
      <c r="C61" s="1">
        <v>701564</v>
      </c>
      <c r="D61" s="1" t="s">
        <v>330</v>
      </c>
      <c r="E61" s="1" t="s">
        <v>331</v>
      </c>
      <c r="F61" s="1" t="s">
        <v>53</v>
      </c>
      <c r="G61" s="1" t="s">
        <v>54</v>
      </c>
      <c r="H61" s="1" t="s">
        <v>55</v>
      </c>
      <c r="I61" s="1" t="s">
        <v>56</v>
      </c>
      <c r="J61" s="1" t="s">
        <v>193</v>
      </c>
      <c r="K61" s="1" t="s">
        <v>194</v>
      </c>
      <c r="L61" s="1" t="s">
        <v>195</v>
      </c>
      <c r="M61" s="1" t="s">
        <v>196</v>
      </c>
      <c r="N61" s="1" t="s">
        <v>197</v>
      </c>
      <c r="O61" s="1" t="s">
        <v>198</v>
      </c>
      <c r="P61" s="1" t="s">
        <v>449</v>
      </c>
      <c r="Q61" s="1" t="s">
        <v>46</v>
      </c>
      <c r="R61" s="1" t="s">
        <v>46</v>
      </c>
      <c r="S61" s="19">
        <v>0</v>
      </c>
      <c r="T61" s="1">
        <v>7850</v>
      </c>
      <c r="V61" s="20" cm="1">
        <f t="array" ref="V61">CalculatePrice(T61,$Q61,$R61,$S61,0,$S61)</f>
        <v>0</v>
      </c>
      <c r="W61" s="1">
        <v>7800</v>
      </c>
      <c r="Y61" s="20" cm="1">
        <f t="array" ref="Y61">CalculatePrice(W61,$Q61,$R61,$V61,V61,$S61)</f>
        <v>0</v>
      </c>
      <c r="Z61" s="1">
        <v>7750</v>
      </c>
      <c r="AB61" s="20" cm="1">
        <f t="array" ref="AB61">CalculatePrice(Z61,$Q61,$R61,$V61,Y61,$S61)</f>
        <v>0</v>
      </c>
      <c r="AC61" s="1">
        <v>7700</v>
      </c>
      <c r="AF61" s="1">
        <v>7650</v>
      </c>
      <c r="AI61" s="1">
        <v>7651</v>
      </c>
      <c r="AL61" s="1">
        <v>7652</v>
      </c>
      <c r="AO61" s="1">
        <v>7649</v>
      </c>
    </row>
    <row r="62" spans="1:43" x14ac:dyDescent="0.25">
      <c r="A62" s="1" t="s">
        <v>332</v>
      </c>
      <c r="B62" s="1">
        <v>1</v>
      </c>
      <c r="C62" s="1">
        <v>653006</v>
      </c>
      <c r="D62" s="1" t="s">
        <v>488</v>
      </c>
      <c r="E62" s="1" t="s">
        <v>333</v>
      </c>
      <c r="F62" s="1" t="s">
        <v>44</v>
      </c>
      <c r="G62" s="1" t="s">
        <v>45</v>
      </c>
      <c r="H62" s="1" t="s">
        <v>58</v>
      </c>
      <c r="I62" s="1" t="s">
        <v>59</v>
      </c>
      <c r="J62" s="1" t="s">
        <v>203</v>
      </c>
      <c r="K62" s="1" t="s">
        <v>204</v>
      </c>
      <c r="L62" s="1" t="s">
        <v>205</v>
      </c>
      <c r="M62" s="1" t="s">
        <v>451</v>
      </c>
      <c r="N62" s="1" t="s">
        <v>206</v>
      </c>
      <c r="O62" s="1" t="s">
        <v>451</v>
      </c>
      <c r="P62" s="1" t="s">
        <v>449</v>
      </c>
      <c r="Q62" s="1" t="s">
        <v>60</v>
      </c>
      <c r="R62" s="1" t="s">
        <v>46</v>
      </c>
      <c r="S62" s="19">
        <v>9.75</v>
      </c>
      <c r="T62" s="1">
        <v>7850</v>
      </c>
      <c r="U62" s="14">
        <v>9.75</v>
      </c>
      <c r="V62" s="20" cm="1">
        <f t="array" ref="V62">CalculatePrice(T62,$Q62,$R62,$S62,0,$S62)</f>
        <v>9.75</v>
      </c>
      <c r="W62" s="1">
        <v>7800</v>
      </c>
      <c r="X62" s="14">
        <v>9.75</v>
      </c>
      <c r="Y62" s="20" cm="1">
        <f t="array" ref="Y62">CalculatePrice(W62,$Q62,$R62,$V62,V62,$S62)</f>
        <v>9.75</v>
      </c>
      <c r="Z62" s="1">
        <v>7750</v>
      </c>
      <c r="AA62" s="14">
        <v>9.75</v>
      </c>
      <c r="AB62" s="20" cm="1">
        <f t="array" ref="AB62">CalculatePrice(Z62,$Q62,$R62,$V62,Y62,$S62)</f>
        <v>9.75</v>
      </c>
      <c r="AC62" s="1">
        <v>7700</v>
      </c>
      <c r="AD62" s="14">
        <v>9.75</v>
      </c>
      <c r="AE62" s="20" cm="1">
        <f t="array" ref="AE62">CalculatePrice(AC62,$Q62,$R62,$V62,AB62,$S62)</f>
        <v>9.75</v>
      </c>
      <c r="AF62" s="1">
        <v>7650</v>
      </c>
      <c r="AH62" s="20" cm="1">
        <f t="array" ref="AH62">CalculatePrice(AF62,$Q62,$R62,$V62,AE62,$S62)</f>
        <v>9.75</v>
      </c>
      <c r="AI62" s="1">
        <v>7651</v>
      </c>
      <c r="AK62" s="20" cm="1">
        <f t="array" ref="AK62">CalculatePrice(AI62,$Q62,$R62,$V62,AH62,$S62)</f>
        <v>9.75</v>
      </c>
      <c r="AL62" s="1">
        <v>7652</v>
      </c>
      <c r="AN62" s="20" cm="1">
        <f t="array" ref="AN62">CalculatePrice(AL62,$Q62,$R62,$V62,AK62,$S62)</f>
        <v>9.75</v>
      </c>
      <c r="AO62" s="1">
        <v>7649</v>
      </c>
      <c r="AP62" s="14">
        <v>9.19</v>
      </c>
      <c r="AQ62" s="20" cm="1">
        <f t="array" ref="AQ62">CalculatePrice(AO62,$Q62,$R62,$V62,AN62,$S62)</f>
        <v>9.75</v>
      </c>
    </row>
    <row r="63" spans="1:43" x14ac:dyDescent="0.25">
      <c r="A63" s="1" t="s">
        <v>334</v>
      </c>
      <c r="B63" s="1">
        <v>1</v>
      </c>
      <c r="C63" s="1">
        <v>506689</v>
      </c>
      <c r="D63" s="1" t="s">
        <v>335</v>
      </c>
      <c r="E63" s="1" t="s">
        <v>336</v>
      </c>
      <c r="F63" s="1" t="s">
        <v>49</v>
      </c>
      <c r="G63" s="1" t="s">
        <v>458</v>
      </c>
      <c r="H63" s="1" t="s">
        <v>50</v>
      </c>
      <c r="I63" s="1" t="s">
        <v>459</v>
      </c>
      <c r="J63" s="1" t="s">
        <v>96</v>
      </c>
      <c r="K63" s="1" t="s">
        <v>97</v>
      </c>
      <c r="L63" s="1" t="s">
        <v>162</v>
      </c>
      <c r="M63" s="1" t="s">
        <v>163</v>
      </c>
      <c r="N63" s="1" t="s">
        <v>164</v>
      </c>
      <c r="O63" s="1" t="s">
        <v>165</v>
      </c>
      <c r="P63" s="1" t="s">
        <v>449</v>
      </c>
      <c r="Q63" s="1" t="s">
        <v>60</v>
      </c>
      <c r="R63" s="1" t="s">
        <v>46</v>
      </c>
      <c r="S63" s="19">
        <v>6.49</v>
      </c>
      <c r="T63" s="1">
        <v>7850</v>
      </c>
      <c r="U63" s="14">
        <v>6.49</v>
      </c>
      <c r="V63" s="20" cm="1">
        <f t="array" ref="V63">CalculatePrice(T63,$Q63,$R63,$S63,0,$S63)</f>
        <v>6.49</v>
      </c>
      <c r="W63" s="1">
        <v>7800</v>
      </c>
      <c r="X63" s="14">
        <v>6.49</v>
      </c>
      <c r="Y63" s="20" cm="1">
        <f t="array" ref="Y63">CalculatePrice(W63,$Q63,$R63,$V63,V63,$S63)</f>
        <v>6.49</v>
      </c>
      <c r="Z63" s="1">
        <v>7750</v>
      </c>
      <c r="AA63" s="14">
        <v>6.49</v>
      </c>
      <c r="AB63" s="20" cm="1">
        <f t="array" ref="AB63">CalculatePrice(Z63,$Q63,$R63,$V63,Y63,$S63)</f>
        <v>6.49</v>
      </c>
      <c r="AC63" s="1">
        <v>7700</v>
      </c>
      <c r="AD63" s="14">
        <v>6.49</v>
      </c>
      <c r="AE63" s="20" cm="1">
        <f t="array" ref="AE63">CalculatePrice(AC63,$Q63,$R63,$V63,AB63,$S63)</f>
        <v>6.49</v>
      </c>
      <c r="AF63" s="1">
        <v>7650</v>
      </c>
      <c r="AG63" s="14">
        <v>6.49</v>
      </c>
      <c r="AH63" s="20" cm="1">
        <f t="array" ref="AH63">CalculatePrice(AF63,$Q63,$R63,$V63,AE63,$S63)</f>
        <v>6.49</v>
      </c>
      <c r="AI63" s="1">
        <v>7651</v>
      </c>
      <c r="AJ63" s="14">
        <v>6.49</v>
      </c>
      <c r="AK63" s="20" cm="1">
        <f t="array" ref="AK63">CalculatePrice(AI63,$Q63,$R63,$V63,AH63,$S63)</f>
        <v>6.49</v>
      </c>
      <c r="AL63" s="1">
        <v>7652</v>
      </c>
      <c r="AM63" s="14">
        <v>6.49</v>
      </c>
      <c r="AN63" s="20" cm="1">
        <f t="array" ref="AN63">CalculatePrice(AL63,$Q63,$R63,$V63,AK63,$S63)</f>
        <v>6.49</v>
      </c>
      <c r="AO63" s="1">
        <v>7649</v>
      </c>
      <c r="AP63" s="14">
        <v>6.49</v>
      </c>
      <c r="AQ63" s="20" cm="1">
        <f t="array" ref="AQ63">CalculatePrice(AO63,$Q63,$R63,$V63,AN63,$S63)</f>
        <v>6.49</v>
      </c>
    </row>
    <row r="64" spans="1:43" x14ac:dyDescent="0.25">
      <c r="A64" s="1" t="s">
        <v>166</v>
      </c>
      <c r="B64" s="1">
        <v>1</v>
      </c>
      <c r="C64" s="1">
        <v>506698</v>
      </c>
      <c r="D64" s="1" t="s">
        <v>167</v>
      </c>
      <c r="E64" s="1" t="s">
        <v>168</v>
      </c>
      <c r="F64" s="1" t="s">
        <v>49</v>
      </c>
      <c r="G64" s="1" t="s">
        <v>458</v>
      </c>
      <c r="H64" s="1" t="s">
        <v>50</v>
      </c>
      <c r="I64" s="1" t="s">
        <v>459</v>
      </c>
      <c r="J64" s="1" t="s">
        <v>96</v>
      </c>
      <c r="K64" s="1" t="s">
        <v>97</v>
      </c>
      <c r="L64" s="1" t="s">
        <v>162</v>
      </c>
      <c r="M64" s="1" t="s">
        <v>163</v>
      </c>
      <c r="N64" s="1" t="s">
        <v>164</v>
      </c>
      <c r="O64" s="1" t="s">
        <v>165</v>
      </c>
      <c r="P64" s="1" t="s">
        <v>449</v>
      </c>
      <c r="Q64" s="1" t="s">
        <v>46</v>
      </c>
      <c r="R64" s="1" t="s">
        <v>71</v>
      </c>
      <c r="S64" s="19">
        <v>6.49</v>
      </c>
      <c r="T64" s="1">
        <v>7850</v>
      </c>
      <c r="U64" s="14">
        <v>6.49</v>
      </c>
      <c r="V64" s="20" cm="1">
        <f t="array" ref="V64">CalculatePrice(T64,$Q64,$R64,$S64,0,$S64)</f>
        <v>6.49</v>
      </c>
      <c r="W64" s="1">
        <v>7800</v>
      </c>
      <c r="X64" s="14">
        <v>6.49</v>
      </c>
      <c r="Y64" s="20" cm="1">
        <f t="array" ref="Y64">CalculatePrice(W64,$Q64,$R64,$V64,V64,$S64)</f>
        <v>6.49</v>
      </c>
      <c r="Z64" s="1">
        <v>7750</v>
      </c>
      <c r="AA64" s="14">
        <v>6.49</v>
      </c>
      <c r="AB64" s="20" cm="1">
        <f t="array" ref="AB64">CalculatePrice(Z64,$Q64,$R64,$V64,Y64,$S64)</f>
        <v>6.69</v>
      </c>
      <c r="AC64" s="1">
        <v>7700</v>
      </c>
      <c r="AD64" s="14">
        <v>6.49</v>
      </c>
      <c r="AF64" s="1">
        <v>7650</v>
      </c>
      <c r="AG64" s="14">
        <v>6.49</v>
      </c>
      <c r="AI64" s="1">
        <v>7651</v>
      </c>
      <c r="AJ64" s="14">
        <v>6.49</v>
      </c>
      <c r="AL64" s="1">
        <v>7652</v>
      </c>
      <c r="AM64" s="14">
        <v>6.49</v>
      </c>
      <c r="AO64" s="1">
        <v>7649</v>
      </c>
      <c r="AP64" s="14">
        <v>6.49</v>
      </c>
    </row>
    <row r="65" spans="1:43" x14ac:dyDescent="0.25">
      <c r="A65" s="1" t="s">
        <v>337</v>
      </c>
      <c r="B65" s="1">
        <v>1</v>
      </c>
      <c r="C65" s="1">
        <v>506707</v>
      </c>
      <c r="D65" s="1" t="s">
        <v>338</v>
      </c>
      <c r="E65" s="1" t="s">
        <v>339</v>
      </c>
      <c r="F65" s="1" t="s">
        <v>53</v>
      </c>
      <c r="G65" s="1" t="s">
        <v>54</v>
      </c>
      <c r="H65" s="1" t="s">
        <v>55</v>
      </c>
      <c r="I65" s="1" t="s">
        <v>56</v>
      </c>
      <c r="J65" s="1" t="s">
        <v>193</v>
      </c>
      <c r="K65" s="1" t="s">
        <v>194</v>
      </c>
      <c r="L65" s="1" t="s">
        <v>195</v>
      </c>
      <c r="M65" s="1" t="s">
        <v>196</v>
      </c>
      <c r="N65" s="1" t="s">
        <v>197</v>
      </c>
      <c r="O65" s="1" t="s">
        <v>198</v>
      </c>
      <c r="P65" s="1" t="s">
        <v>449</v>
      </c>
      <c r="Q65" s="1" t="s">
        <v>57</v>
      </c>
      <c r="R65" s="1" t="s">
        <v>46</v>
      </c>
      <c r="S65" s="19">
        <v>4.5</v>
      </c>
      <c r="T65" s="1">
        <v>7850</v>
      </c>
      <c r="U65" s="14">
        <v>4.5</v>
      </c>
      <c r="V65" s="20" cm="1">
        <f t="array" ref="V65">CalculatePrice(T65,$Q65,$R65,$S65,0,$S65)</f>
        <v>4.5</v>
      </c>
      <c r="W65" s="1">
        <v>7800</v>
      </c>
      <c r="X65" s="14">
        <v>4.5</v>
      </c>
      <c r="Y65" s="20" cm="1">
        <f t="array" ref="Y65">CalculatePrice(W65,$Q65,$R65,$V65,V65,$S65)</f>
        <v>4.5</v>
      </c>
      <c r="Z65" s="1">
        <v>7750</v>
      </c>
      <c r="AA65" s="14">
        <v>4.5</v>
      </c>
      <c r="AB65" s="20" cm="1">
        <f t="array" ref="AB65">CalculatePrice(Z65,$Q65,$R65,$V65,Y65,$S65)</f>
        <v>4.5</v>
      </c>
      <c r="AC65" s="1">
        <v>7700</v>
      </c>
      <c r="AD65" s="14">
        <v>4.5</v>
      </c>
      <c r="AE65" s="20" cm="1">
        <f t="array" ref="AE65">CalculatePrice(AC65,$Q65,$R65,$V65,AB65,$S65)</f>
        <v>4.5</v>
      </c>
      <c r="AF65" s="1">
        <v>7650</v>
      </c>
      <c r="AH65" s="20" cm="1">
        <f t="array" ref="AH65">CalculatePrice(AF65,$Q65,$R65,$V65,AE65,$S65)</f>
        <v>4.5</v>
      </c>
      <c r="AI65" s="1">
        <v>7651</v>
      </c>
      <c r="AK65" s="20" cm="1">
        <f t="array" ref="AK65">CalculatePrice(AI65,$Q65,$R65,$V65,AH65,$S65)</f>
        <v>4.5</v>
      </c>
      <c r="AL65" s="1">
        <v>7652</v>
      </c>
      <c r="AN65" s="20" cm="1">
        <f t="array" ref="AN65">CalculatePrice(AL65,$Q65,$R65,$V65,AK65,$S65)</f>
        <v>4.5</v>
      </c>
      <c r="AO65" s="1">
        <v>7649</v>
      </c>
      <c r="AP65" s="14">
        <v>4.5</v>
      </c>
      <c r="AQ65" s="20" cm="1">
        <f t="array" ref="AQ65">CalculatePrice(AO65,$Q65,$R65,$V65,AN65,$S65)</f>
        <v>4.5</v>
      </c>
    </row>
    <row r="66" spans="1:43" x14ac:dyDescent="0.25">
      <c r="A66" s="1" t="s">
        <v>337</v>
      </c>
      <c r="B66" s="1">
        <v>2</v>
      </c>
      <c r="C66" s="1">
        <v>701495</v>
      </c>
      <c r="D66" s="1" t="s">
        <v>340</v>
      </c>
      <c r="E66" s="1" t="s">
        <v>341</v>
      </c>
      <c r="F66" s="1" t="s">
        <v>53</v>
      </c>
      <c r="G66" s="1" t="s">
        <v>54</v>
      </c>
      <c r="H66" s="1" t="s">
        <v>55</v>
      </c>
      <c r="I66" s="1" t="s">
        <v>56</v>
      </c>
      <c r="J66" s="1" t="s">
        <v>193</v>
      </c>
      <c r="K66" s="1" t="s">
        <v>194</v>
      </c>
      <c r="L66" s="1" t="s">
        <v>195</v>
      </c>
      <c r="M66" s="1" t="s">
        <v>196</v>
      </c>
      <c r="N66" s="1" t="s">
        <v>197</v>
      </c>
      <c r="O66" s="1" t="s">
        <v>198</v>
      </c>
      <c r="P66" s="1" t="s">
        <v>449</v>
      </c>
      <c r="Q66" s="1" t="s">
        <v>46</v>
      </c>
      <c r="R66" s="1" t="s">
        <v>46</v>
      </c>
      <c r="S66" s="19">
        <v>0</v>
      </c>
      <c r="T66" s="1">
        <v>7850</v>
      </c>
      <c r="V66" s="20" cm="1">
        <f t="array" ref="V66">CalculatePrice(T66,$Q66,$R66,$S66,0,$S66)</f>
        <v>0</v>
      </c>
      <c r="W66" s="1">
        <v>7800</v>
      </c>
      <c r="Y66" s="20" cm="1">
        <f t="array" ref="Y66">CalculatePrice(W66,$Q66,$R66,$V66,V66,$S66)</f>
        <v>0</v>
      </c>
      <c r="Z66" s="1">
        <v>7750</v>
      </c>
      <c r="AB66" s="20" cm="1">
        <f t="array" ref="AB66">CalculatePrice(Z66,$Q66,$R66,$V66,Y66,$S66)</f>
        <v>0</v>
      </c>
      <c r="AC66" s="1">
        <v>7700</v>
      </c>
      <c r="AF66" s="1">
        <v>7650</v>
      </c>
      <c r="AI66" s="1">
        <v>7651</v>
      </c>
      <c r="AL66" s="1">
        <v>7652</v>
      </c>
      <c r="AO66" s="1">
        <v>7649</v>
      </c>
    </row>
    <row r="67" spans="1:43" x14ac:dyDescent="0.25">
      <c r="A67" s="1" t="s">
        <v>342</v>
      </c>
      <c r="B67" s="1">
        <v>1</v>
      </c>
      <c r="C67" s="1">
        <v>506718</v>
      </c>
      <c r="D67" s="1" t="s">
        <v>343</v>
      </c>
      <c r="E67" s="1" t="s">
        <v>344</v>
      </c>
      <c r="F67" s="1" t="s">
        <v>44</v>
      </c>
      <c r="G67" s="1" t="s">
        <v>45</v>
      </c>
      <c r="H67" s="1" t="s">
        <v>184</v>
      </c>
      <c r="I67" s="1" t="s">
        <v>446</v>
      </c>
      <c r="J67" s="1" t="s">
        <v>185</v>
      </c>
      <c r="K67" s="1" t="s">
        <v>447</v>
      </c>
      <c r="L67" s="1" t="s">
        <v>186</v>
      </c>
      <c r="M67" s="1" t="s">
        <v>448</v>
      </c>
      <c r="N67" s="1" t="s">
        <v>345</v>
      </c>
      <c r="O67" s="1" t="s">
        <v>343</v>
      </c>
      <c r="P67" s="1" t="s">
        <v>449</v>
      </c>
      <c r="Q67" s="1" t="s">
        <v>189</v>
      </c>
      <c r="R67" s="1" t="s">
        <v>46</v>
      </c>
      <c r="S67" s="19">
        <v>1.49</v>
      </c>
      <c r="T67" s="1">
        <v>7850</v>
      </c>
      <c r="U67" s="14">
        <v>1.49</v>
      </c>
      <c r="V67" s="20" cm="1">
        <f t="array" ref="V67">CalculatePrice(T67,$Q67,$R67,$S67,0,$S67)</f>
        <v>1.49</v>
      </c>
      <c r="W67" s="1">
        <v>7800</v>
      </c>
      <c r="X67" s="14">
        <v>1.49</v>
      </c>
      <c r="Y67" s="20" cm="1">
        <f t="array" ref="Y67">CalculatePrice(W67,$Q67,$R67,$V67,V67,$S67)</f>
        <v>1.49</v>
      </c>
      <c r="Z67" s="1">
        <v>7750</v>
      </c>
      <c r="AA67" s="14">
        <v>1.49</v>
      </c>
      <c r="AB67" s="20" cm="1">
        <f t="array" ref="AB67">CalculatePrice(Z67,$Q67,$R67,$V67,Y67,$S67)</f>
        <v>1.49</v>
      </c>
      <c r="AC67" s="1">
        <v>7700</v>
      </c>
      <c r="AD67" s="14">
        <v>1.49</v>
      </c>
      <c r="AE67" s="20" cm="1">
        <f t="array" ref="AE67">CalculatePrice(AC67,$Q67,$R67,$V67,AB67,$S67)</f>
        <v>1.49</v>
      </c>
      <c r="AF67" s="1">
        <v>7650</v>
      </c>
      <c r="AG67" s="14">
        <v>1.49</v>
      </c>
      <c r="AH67" s="20" cm="1">
        <f t="array" ref="AH67">CalculatePrice(AF67,$Q67,$R67,$V67,AE67,$S67)</f>
        <v>1.49</v>
      </c>
      <c r="AI67" s="1">
        <v>7651</v>
      </c>
      <c r="AJ67" s="14">
        <v>1.49</v>
      </c>
      <c r="AK67" s="20" cm="1">
        <f t="array" ref="AK67">CalculatePrice(AI67,$Q67,$R67,$V67,AH67,$S67)</f>
        <v>1.49</v>
      </c>
      <c r="AL67" s="1">
        <v>7652</v>
      </c>
      <c r="AM67" s="14">
        <v>1.49</v>
      </c>
      <c r="AN67" s="20" cm="1">
        <f t="array" ref="AN67">CalculatePrice(AL67,$Q67,$R67,$V67,AK67,$S67)</f>
        <v>1.49</v>
      </c>
      <c r="AO67" s="1">
        <v>7649</v>
      </c>
      <c r="AP67" s="14">
        <v>1.49</v>
      </c>
      <c r="AQ67" s="20" cm="1">
        <f t="array" ref="AQ67">CalculatePrice(AO67,$Q67,$R67,$V67,AN67,$S67)</f>
        <v>1.49</v>
      </c>
    </row>
    <row r="68" spans="1:43" x14ac:dyDescent="0.25">
      <c r="A68" s="1" t="s">
        <v>346</v>
      </c>
      <c r="B68" s="1">
        <v>1</v>
      </c>
      <c r="C68" s="1">
        <v>506723</v>
      </c>
      <c r="D68" s="1" t="s">
        <v>347</v>
      </c>
      <c r="E68" s="1" t="s">
        <v>348</v>
      </c>
      <c r="F68" s="1" t="s">
        <v>47</v>
      </c>
      <c r="G68" s="1" t="s">
        <v>453</v>
      </c>
      <c r="H68" s="1" t="s">
        <v>78</v>
      </c>
      <c r="I68" s="1" t="s">
        <v>79</v>
      </c>
      <c r="J68" s="1" t="s">
        <v>80</v>
      </c>
      <c r="K68" s="1" t="s">
        <v>81</v>
      </c>
      <c r="L68" s="1" t="s">
        <v>82</v>
      </c>
      <c r="M68" s="1" t="s">
        <v>83</v>
      </c>
      <c r="N68" s="1" t="s">
        <v>140</v>
      </c>
      <c r="O68" s="1" t="s">
        <v>141</v>
      </c>
      <c r="P68" s="1" t="s">
        <v>449</v>
      </c>
      <c r="Q68" s="1" t="s">
        <v>60</v>
      </c>
      <c r="R68" s="1" t="s">
        <v>46</v>
      </c>
      <c r="S68" s="19">
        <v>1.75</v>
      </c>
      <c r="T68" s="1">
        <v>7850</v>
      </c>
      <c r="U68" s="14">
        <v>1.75</v>
      </c>
      <c r="V68" s="20" cm="1">
        <f t="array" ref="V68">CalculatePrice(T68,$Q68,$R68,$S68,0,$S68)</f>
        <v>1.75</v>
      </c>
      <c r="W68" s="1">
        <v>7800</v>
      </c>
      <c r="X68" s="14">
        <v>1.75</v>
      </c>
      <c r="Y68" s="20" cm="1">
        <f t="array" ref="Y68">CalculatePrice(W68,$Q68,$R68,$V68,V68,$S68)</f>
        <v>1.75</v>
      </c>
      <c r="Z68" s="1">
        <v>7750</v>
      </c>
      <c r="AA68" s="14">
        <v>1.75</v>
      </c>
      <c r="AB68" s="20" cm="1">
        <f t="array" ref="AB68">CalculatePrice(Z68,$Q68,$R68,$V68,Y68,$S68)</f>
        <v>1.75</v>
      </c>
      <c r="AC68" s="1">
        <v>7700</v>
      </c>
      <c r="AD68" s="14">
        <v>1.75</v>
      </c>
      <c r="AE68" s="20" cm="1">
        <f t="array" ref="AE68">CalculatePrice(AC68,$Q68,$R68,$V68,AB68,$S68)</f>
        <v>1.75</v>
      </c>
      <c r="AF68" s="1">
        <v>7650</v>
      </c>
      <c r="AG68" s="14">
        <v>1.75</v>
      </c>
      <c r="AH68" s="20" cm="1">
        <f t="array" ref="AH68">CalculatePrice(AF68,$Q68,$R68,$V68,AE68,$S68)</f>
        <v>1.75</v>
      </c>
      <c r="AI68" s="1">
        <v>7651</v>
      </c>
      <c r="AJ68" s="14">
        <v>1.75</v>
      </c>
      <c r="AK68" s="20" cm="1">
        <f t="array" ref="AK68">CalculatePrice(AI68,$Q68,$R68,$V68,AH68,$S68)</f>
        <v>1.75</v>
      </c>
      <c r="AL68" s="1">
        <v>7652</v>
      </c>
      <c r="AM68" s="14">
        <v>1.75</v>
      </c>
      <c r="AN68" s="20" cm="1">
        <f t="array" ref="AN68">CalculatePrice(AL68,$Q68,$R68,$V68,AK68,$S68)</f>
        <v>1.75</v>
      </c>
      <c r="AO68" s="1">
        <v>7649</v>
      </c>
      <c r="AP68" s="14">
        <v>1.75</v>
      </c>
      <c r="AQ68" s="20" cm="1">
        <f t="array" ref="AQ68">CalculatePrice(AO68,$Q68,$R68,$V68,AN68,$S68)</f>
        <v>1.75</v>
      </c>
    </row>
    <row r="69" spans="1:43" x14ac:dyDescent="0.25">
      <c r="A69" s="1" t="s">
        <v>349</v>
      </c>
      <c r="B69" s="1">
        <v>1</v>
      </c>
      <c r="C69" s="1">
        <v>506732</v>
      </c>
      <c r="D69" s="1" t="s">
        <v>489</v>
      </c>
      <c r="E69" s="1" t="s">
        <v>350</v>
      </c>
      <c r="F69" s="1" t="s">
        <v>44</v>
      </c>
      <c r="G69" s="1" t="s">
        <v>45</v>
      </c>
      <c r="H69" s="1" t="s">
        <v>58</v>
      </c>
      <c r="I69" s="1" t="s">
        <v>59</v>
      </c>
      <c r="J69" s="1" t="s">
        <v>130</v>
      </c>
      <c r="K69" s="1" t="s">
        <v>131</v>
      </c>
      <c r="L69" s="1" t="s">
        <v>132</v>
      </c>
      <c r="M69" s="1" t="s">
        <v>465</v>
      </c>
      <c r="N69" s="1" t="s">
        <v>133</v>
      </c>
      <c r="O69" s="1" t="s">
        <v>466</v>
      </c>
      <c r="P69" s="1" t="s">
        <v>449</v>
      </c>
      <c r="Q69" s="1" t="s">
        <v>46</v>
      </c>
      <c r="R69" s="1" t="s">
        <v>46</v>
      </c>
      <c r="S69" s="19">
        <v>12.69</v>
      </c>
      <c r="T69" s="1">
        <v>7850</v>
      </c>
      <c r="U69" s="14">
        <v>12.69</v>
      </c>
      <c r="V69" s="20" cm="1">
        <f t="array" ref="V69">CalculatePrice(T69,$Q69,$R69,$S69,0,$S69)</f>
        <v>12.69</v>
      </c>
      <c r="W69" s="1">
        <v>7800</v>
      </c>
      <c r="X69" s="14">
        <v>13.49</v>
      </c>
      <c r="Y69" s="20" cm="1">
        <f t="array" ref="Y69">CalculatePrice(W69,$Q69,$R69,$V69,V69,$S69)</f>
        <v>13.29</v>
      </c>
      <c r="Z69" s="1">
        <v>7750</v>
      </c>
      <c r="AA69" s="14">
        <v>13.99</v>
      </c>
      <c r="AB69" s="20" cm="1">
        <f t="array" ref="AB69">CalculatePrice(Z69,$Q69,$R69,$V69,Y69,$S69)</f>
        <v>13.69</v>
      </c>
      <c r="AC69" s="1">
        <v>7700</v>
      </c>
      <c r="AD69" s="14">
        <v>13.99</v>
      </c>
      <c r="AF69" s="1">
        <v>7650</v>
      </c>
      <c r="AG69" s="14">
        <v>14.49</v>
      </c>
      <c r="AI69" s="1">
        <v>7651</v>
      </c>
      <c r="AJ69" s="14">
        <v>14.49</v>
      </c>
      <c r="AL69" s="1">
        <v>7652</v>
      </c>
      <c r="AM69" s="14">
        <v>14.49</v>
      </c>
      <c r="AO69" s="1">
        <v>7649</v>
      </c>
      <c r="AP69" s="14">
        <v>14.99</v>
      </c>
    </row>
    <row r="70" spans="1:43" x14ac:dyDescent="0.25">
      <c r="A70" s="1" t="s">
        <v>169</v>
      </c>
      <c r="B70" s="1">
        <v>1</v>
      </c>
      <c r="C70" s="1">
        <v>506741</v>
      </c>
      <c r="D70" s="1" t="s">
        <v>170</v>
      </c>
      <c r="E70" s="1" t="s">
        <v>171</v>
      </c>
      <c r="F70" s="1" t="s">
        <v>47</v>
      </c>
      <c r="G70" s="1" t="s">
        <v>453</v>
      </c>
      <c r="H70" s="1" t="s">
        <v>48</v>
      </c>
      <c r="I70" s="1" t="s">
        <v>454</v>
      </c>
      <c r="J70" s="1" t="s">
        <v>61</v>
      </c>
      <c r="K70" s="1" t="s">
        <v>62</v>
      </c>
      <c r="L70" s="1" t="s">
        <v>63</v>
      </c>
      <c r="M70" s="1" t="s">
        <v>64</v>
      </c>
      <c r="N70" s="1" t="s">
        <v>108</v>
      </c>
      <c r="O70" s="1" t="s">
        <v>109</v>
      </c>
      <c r="P70" s="1" t="s">
        <v>449</v>
      </c>
      <c r="Q70" s="1" t="s">
        <v>46</v>
      </c>
      <c r="R70" s="1" t="s">
        <v>71</v>
      </c>
      <c r="S70" s="19">
        <v>1.25</v>
      </c>
      <c r="T70" s="1">
        <v>7850</v>
      </c>
      <c r="U70" s="14">
        <v>1.25</v>
      </c>
      <c r="V70" s="20" cm="1">
        <f t="array" ref="V70">CalculatePrice(T70,$Q70,$R70,$S70,0,$S70)</f>
        <v>1.25</v>
      </c>
      <c r="W70" s="1">
        <v>7800</v>
      </c>
      <c r="X70" s="14">
        <v>1.25</v>
      </c>
      <c r="Y70" s="20" cm="1">
        <f t="array" ref="Y70">CalculatePrice(W70,$Q70,$R70,$V70,V70,$S70)</f>
        <v>1.25</v>
      </c>
      <c r="Z70" s="1">
        <v>7750</v>
      </c>
      <c r="AA70" s="14">
        <v>1.29</v>
      </c>
      <c r="AB70" s="20" cm="1">
        <f t="array" ref="AB70">CalculatePrice(Z70,$Q70,$R70,$V70,Y70,$S70)</f>
        <v>1.29</v>
      </c>
      <c r="AC70" s="1">
        <v>7700</v>
      </c>
      <c r="AD70" s="14">
        <v>1.29</v>
      </c>
      <c r="AF70" s="1">
        <v>7650</v>
      </c>
      <c r="AG70" s="14">
        <v>1.45</v>
      </c>
      <c r="AI70" s="1">
        <v>7651</v>
      </c>
      <c r="AJ70" s="14">
        <v>1.49</v>
      </c>
      <c r="AL70" s="1">
        <v>7652</v>
      </c>
      <c r="AM70" s="14">
        <v>1.49</v>
      </c>
      <c r="AO70" s="1">
        <v>7649</v>
      </c>
      <c r="AP70" s="14">
        <v>1.55</v>
      </c>
    </row>
    <row r="71" spans="1:43" x14ac:dyDescent="0.25">
      <c r="A71" s="1" t="s">
        <v>351</v>
      </c>
      <c r="B71" s="1">
        <v>1</v>
      </c>
      <c r="C71" s="1">
        <v>506750</v>
      </c>
      <c r="D71" s="1" t="s">
        <v>352</v>
      </c>
      <c r="E71" s="1" t="s">
        <v>353</v>
      </c>
      <c r="F71" s="1" t="s">
        <v>49</v>
      </c>
      <c r="G71" s="1" t="s">
        <v>458</v>
      </c>
      <c r="H71" s="1" t="s">
        <v>50</v>
      </c>
      <c r="I71" s="1" t="s">
        <v>459</v>
      </c>
      <c r="J71" s="1" t="s">
        <v>96</v>
      </c>
      <c r="K71" s="1" t="s">
        <v>97</v>
      </c>
      <c r="L71" s="1" t="s">
        <v>162</v>
      </c>
      <c r="M71" s="1" t="s">
        <v>163</v>
      </c>
      <c r="N71" s="1" t="s">
        <v>354</v>
      </c>
      <c r="O71" s="1" t="s">
        <v>355</v>
      </c>
      <c r="P71" s="1" t="s">
        <v>449</v>
      </c>
      <c r="Q71" s="1" t="s">
        <v>46</v>
      </c>
      <c r="R71" s="1" t="s">
        <v>46</v>
      </c>
      <c r="S71" s="19">
        <v>13.25</v>
      </c>
      <c r="T71" s="1">
        <v>7850</v>
      </c>
      <c r="U71" s="14">
        <v>13.25</v>
      </c>
      <c r="V71" s="20" cm="1">
        <f t="array" ref="V71">CalculatePrice(T71,$Q71,$R71,$S71,0,$S71)</f>
        <v>13.25</v>
      </c>
      <c r="W71" s="1">
        <v>7800</v>
      </c>
      <c r="X71" s="14">
        <v>13.99</v>
      </c>
      <c r="Y71" s="20" cm="1">
        <f t="array" ref="Y71">CalculatePrice(W71,$Q71,$R71,$V71,V71,$S71)</f>
        <v>13.69</v>
      </c>
      <c r="Z71" s="1">
        <v>7750</v>
      </c>
      <c r="AA71" s="14">
        <v>14.49</v>
      </c>
      <c r="AB71" s="20" cm="1">
        <f t="array" ref="AB71">CalculatePrice(Z71,$Q71,$R71,$V71,Y71,$S71)</f>
        <v>14.29</v>
      </c>
      <c r="AC71" s="1">
        <v>7700</v>
      </c>
      <c r="AD71" s="14">
        <v>14.49</v>
      </c>
      <c r="AF71" s="1">
        <v>7650</v>
      </c>
      <c r="AG71" s="14">
        <v>14.99</v>
      </c>
      <c r="AI71" s="1">
        <v>7651</v>
      </c>
      <c r="AJ71" s="14">
        <v>14.99</v>
      </c>
      <c r="AL71" s="1">
        <v>7652</v>
      </c>
      <c r="AM71" s="14">
        <v>15.49</v>
      </c>
      <c r="AO71" s="1">
        <v>7649</v>
      </c>
      <c r="AP71" s="14">
        <v>15.49</v>
      </c>
    </row>
    <row r="72" spans="1:43" x14ac:dyDescent="0.25">
      <c r="A72" s="1" t="s">
        <v>356</v>
      </c>
      <c r="B72" s="1">
        <v>1</v>
      </c>
      <c r="C72" s="1">
        <v>506759</v>
      </c>
      <c r="D72" s="1" t="s">
        <v>357</v>
      </c>
      <c r="E72" s="1" t="s">
        <v>358</v>
      </c>
      <c r="F72" s="1" t="s">
        <v>44</v>
      </c>
      <c r="G72" s="1" t="s">
        <v>45</v>
      </c>
      <c r="H72" s="1" t="s">
        <v>184</v>
      </c>
      <c r="I72" s="1" t="s">
        <v>446</v>
      </c>
      <c r="J72" s="1" t="s">
        <v>239</v>
      </c>
      <c r="K72" s="1" t="s">
        <v>469</v>
      </c>
      <c r="L72" s="1" t="s">
        <v>240</v>
      </c>
      <c r="M72" s="1" t="s">
        <v>470</v>
      </c>
      <c r="N72" s="1" t="s">
        <v>359</v>
      </c>
      <c r="O72" s="1" t="s">
        <v>360</v>
      </c>
      <c r="P72" s="1" t="s">
        <v>449</v>
      </c>
      <c r="Q72" s="1" t="s">
        <v>189</v>
      </c>
      <c r="R72" s="1" t="s">
        <v>46</v>
      </c>
      <c r="S72" s="19">
        <v>0.99</v>
      </c>
      <c r="T72" s="1">
        <v>7850</v>
      </c>
      <c r="U72" s="14">
        <v>0.99</v>
      </c>
      <c r="V72" s="20" cm="1">
        <f t="array" ref="V72">CalculatePrice(T72,$Q72,$R72,$S72,0,$S72)</f>
        <v>0.99</v>
      </c>
      <c r="W72" s="1">
        <v>7800</v>
      </c>
      <c r="X72" s="14">
        <v>0.99</v>
      </c>
      <c r="Y72" s="20" cm="1">
        <f t="array" ref="Y72">CalculatePrice(W72,$Q72,$R72,$V72,V72,$S72)</f>
        <v>0.99</v>
      </c>
      <c r="Z72" s="1">
        <v>7750</v>
      </c>
      <c r="AA72" s="14">
        <v>1.0900000000000001</v>
      </c>
      <c r="AB72" s="20" cm="1">
        <f t="array" ref="AB72">CalculatePrice(Z72,$Q72,$R72,$V72,Y72,$S72)</f>
        <v>0.99</v>
      </c>
      <c r="AC72" s="1">
        <v>7700</v>
      </c>
      <c r="AD72" s="14">
        <v>1.0900000000000001</v>
      </c>
      <c r="AE72" s="20" cm="1">
        <f t="array" ref="AE72">CalculatePrice(AC72,$Q72,$R72,$V72,AB72,$S72)</f>
        <v>0.99</v>
      </c>
      <c r="AF72" s="1">
        <v>7650</v>
      </c>
      <c r="AG72" s="14">
        <v>1.19</v>
      </c>
      <c r="AH72" s="20" cm="1">
        <f t="array" ref="AH72">CalculatePrice(AF72,$Q72,$R72,$V72,AE72,$S72)</f>
        <v>0.99</v>
      </c>
      <c r="AI72" s="1">
        <v>7651</v>
      </c>
      <c r="AJ72" s="14">
        <v>1.19</v>
      </c>
      <c r="AK72" s="20" cm="1">
        <f t="array" ref="AK72">CalculatePrice(AI72,$Q72,$R72,$V72,AH72,$S72)</f>
        <v>0.99</v>
      </c>
      <c r="AL72" s="1">
        <v>7652</v>
      </c>
      <c r="AM72" s="14">
        <v>1.19</v>
      </c>
      <c r="AN72" s="20" cm="1">
        <f t="array" ref="AN72">CalculatePrice(AL72,$Q72,$R72,$V72,AK72,$S72)</f>
        <v>0.99</v>
      </c>
      <c r="AO72" s="1">
        <v>7649</v>
      </c>
      <c r="AP72" s="14">
        <v>1.19</v>
      </c>
      <c r="AQ72" s="20" cm="1">
        <f t="array" ref="AQ72">CalculatePrice(AO72,$Q72,$R72,$V72,AN72,$S72)</f>
        <v>0.99</v>
      </c>
    </row>
    <row r="73" spans="1:43" x14ac:dyDescent="0.25">
      <c r="A73" s="1" t="s">
        <v>361</v>
      </c>
      <c r="B73" s="1">
        <v>1</v>
      </c>
      <c r="C73" s="1">
        <v>506764</v>
      </c>
      <c r="D73" s="1" t="s">
        <v>362</v>
      </c>
      <c r="E73" s="1" t="s">
        <v>363</v>
      </c>
      <c r="F73" s="1" t="s">
        <v>47</v>
      </c>
      <c r="G73" s="1" t="s">
        <v>453</v>
      </c>
      <c r="H73" s="1" t="s">
        <v>48</v>
      </c>
      <c r="I73" s="1" t="s">
        <v>454</v>
      </c>
      <c r="J73" s="1" t="s">
        <v>61</v>
      </c>
      <c r="K73" s="1" t="s">
        <v>62</v>
      </c>
      <c r="L73" s="1" t="s">
        <v>63</v>
      </c>
      <c r="M73" s="1" t="s">
        <v>64</v>
      </c>
      <c r="N73" s="1" t="s">
        <v>290</v>
      </c>
      <c r="O73" s="1" t="s">
        <v>291</v>
      </c>
      <c r="P73" s="1" t="s">
        <v>449</v>
      </c>
      <c r="Q73" s="1" t="s">
        <v>46</v>
      </c>
      <c r="R73" s="1" t="s">
        <v>481</v>
      </c>
      <c r="S73" s="19">
        <v>1.45</v>
      </c>
      <c r="T73" s="1">
        <v>7850</v>
      </c>
      <c r="U73" s="14">
        <v>1.45</v>
      </c>
      <c r="V73" s="20" cm="1">
        <f t="array" ref="V73">CalculatePrice(T73,$Q73,$R73,$S73,0,$S73)</f>
        <v>1.45</v>
      </c>
      <c r="W73" s="1">
        <v>7800</v>
      </c>
      <c r="X73" s="14">
        <v>1.45</v>
      </c>
      <c r="Y73" s="20" cm="1">
        <f t="array" ref="Y73">CalculatePrice(W73,$Q73,$R73,$V73,V73,$S73)</f>
        <v>1.45</v>
      </c>
      <c r="Z73" s="1">
        <v>7750</v>
      </c>
      <c r="AA73" s="14">
        <v>1.49</v>
      </c>
      <c r="AB73" s="20" cm="1">
        <f t="array" ref="AB73">CalculatePrice(Z73,$Q73,$R73,$V73,Y73,$S73)</f>
        <v>1.49</v>
      </c>
      <c r="AC73" s="1">
        <v>7700</v>
      </c>
      <c r="AD73" s="14">
        <v>1.49</v>
      </c>
      <c r="AF73" s="1">
        <v>7650</v>
      </c>
      <c r="AG73" s="14">
        <v>1.49</v>
      </c>
      <c r="AI73" s="1">
        <v>7651</v>
      </c>
      <c r="AJ73" s="14">
        <v>1.49</v>
      </c>
      <c r="AL73" s="1">
        <v>7652</v>
      </c>
      <c r="AM73" s="14">
        <v>1.49</v>
      </c>
      <c r="AO73" s="1">
        <v>7649</v>
      </c>
      <c r="AP73" s="14">
        <v>1.49</v>
      </c>
    </row>
    <row r="74" spans="1:43" x14ac:dyDescent="0.25">
      <c r="A74" s="1" t="s">
        <v>364</v>
      </c>
      <c r="B74" s="1">
        <v>1</v>
      </c>
      <c r="C74" s="1">
        <v>506773</v>
      </c>
      <c r="D74" s="1" t="s">
        <v>365</v>
      </c>
      <c r="E74" s="1" t="s">
        <v>366</v>
      </c>
      <c r="F74" s="1" t="s">
        <v>47</v>
      </c>
      <c r="G74" s="1" t="s">
        <v>453</v>
      </c>
      <c r="H74" s="1" t="s">
        <v>48</v>
      </c>
      <c r="I74" s="1" t="s">
        <v>454</v>
      </c>
      <c r="J74" s="1" t="s">
        <v>61</v>
      </c>
      <c r="K74" s="1" t="s">
        <v>62</v>
      </c>
      <c r="L74" s="1" t="s">
        <v>63</v>
      </c>
      <c r="M74" s="1" t="s">
        <v>64</v>
      </c>
      <c r="N74" s="1" t="s">
        <v>290</v>
      </c>
      <c r="O74" s="1" t="s">
        <v>291</v>
      </c>
      <c r="P74" s="1" t="s">
        <v>449</v>
      </c>
      <c r="Q74" s="1" t="s">
        <v>46</v>
      </c>
      <c r="R74" s="1" t="s">
        <v>292</v>
      </c>
      <c r="S74" s="19">
        <v>1.65</v>
      </c>
      <c r="T74" s="1">
        <v>7850</v>
      </c>
      <c r="U74" s="14">
        <v>1.65</v>
      </c>
      <c r="V74" s="20" cm="1">
        <f t="array" ref="V74">CalculatePrice(T74,$Q74,$R74,$S74,0,$S74)</f>
        <v>1.65</v>
      </c>
      <c r="W74" s="1">
        <v>7800</v>
      </c>
      <c r="X74" s="14">
        <v>1.75</v>
      </c>
      <c r="Y74" s="20" cm="1">
        <f t="array" ref="Y74">CalculatePrice(W74,$Q74,$R74,$V74,V74,$S74)</f>
        <v>1.75</v>
      </c>
      <c r="Z74" s="1">
        <v>7750</v>
      </c>
      <c r="AA74" s="14">
        <v>1.85</v>
      </c>
      <c r="AB74" s="20" cm="1">
        <f t="array" ref="AB74">CalculatePrice(Z74,$Q74,$R74,$V74,Y74,$S74)</f>
        <v>1.85</v>
      </c>
      <c r="AC74" s="1">
        <v>7700</v>
      </c>
      <c r="AD74" s="14">
        <v>1.89</v>
      </c>
      <c r="AF74" s="1">
        <v>7650</v>
      </c>
      <c r="AG74" s="14">
        <v>1.89</v>
      </c>
      <c r="AI74" s="1">
        <v>7651</v>
      </c>
      <c r="AJ74" s="14">
        <v>1.89</v>
      </c>
      <c r="AL74" s="1">
        <v>7652</v>
      </c>
      <c r="AM74" s="14">
        <v>1.89</v>
      </c>
      <c r="AO74" s="1">
        <v>7649</v>
      </c>
      <c r="AP74" s="14">
        <v>2.29</v>
      </c>
    </row>
    <row r="75" spans="1:43" x14ac:dyDescent="0.25">
      <c r="A75" s="1" t="s">
        <v>367</v>
      </c>
      <c r="B75" s="1">
        <v>1</v>
      </c>
      <c r="C75" s="1">
        <v>506782</v>
      </c>
      <c r="D75" s="1" t="s">
        <v>368</v>
      </c>
      <c r="E75" s="1" t="s">
        <v>369</v>
      </c>
      <c r="F75" s="1" t="s">
        <v>44</v>
      </c>
      <c r="G75" s="1" t="s">
        <v>45</v>
      </c>
      <c r="H75" s="1" t="s">
        <v>184</v>
      </c>
      <c r="I75" s="1" t="s">
        <v>446</v>
      </c>
      <c r="J75" s="1" t="s">
        <v>239</v>
      </c>
      <c r="K75" s="1" t="s">
        <v>469</v>
      </c>
      <c r="L75" s="1" t="s">
        <v>240</v>
      </c>
      <c r="M75" s="1" t="s">
        <v>470</v>
      </c>
      <c r="N75" s="1" t="s">
        <v>370</v>
      </c>
      <c r="O75" s="1" t="s">
        <v>368</v>
      </c>
      <c r="P75" s="1" t="s">
        <v>449</v>
      </c>
      <c r="Q75" s="1" t="s">
        <v>189</v>
      </c>
      <c r="R75" s="1" t="s">
        <v>46</v>
      </c>
      <c r="S75" s="19">
        <v>1.39</v>
      </c>
      <c r="T75" s="1">
        <v>7850</v>
      </c>
      <c r="U75" s="14">
        <v>1.39</v>
      </c>
      <c r="V75" s="20" cm="1">
        <f t="array" ref="V75">CalculatePrice(T75,$Q75,$R75,$S75,0,$S75)</f>
        <v>1.39</v>
      </c>
      <c r="W75" s="1">
        <v>7800</v>
      </c>
      <c r="X75" s="14">
        <v>1.39</v>
      </c>
      <c r="Y75" s="20" cm="1">
        <f t="array" ref="Y75">CalculatePrice(W75,$Q75,$R75,$V75,V75,$S75)</f>
        <v>1.39</v>
      </c>
      <c r="Z75" s="1">
        <v>7750</v>
      </c>
      <c r="AA75" s="14">
        <v>1.59</v>
      </c>
      <c r="AB75" s="20" cm="1">
        <f t="array" ref="AB75">CalculatePrice(Z75,$Q75,$R75,$V75,Y75,$S75)</f>
        <v>1.39</v>
      </c>
      <c r="AC75" s="1">
        <v>7700</v>
      </c>
      <c r="AD75" s="14">
        <v>1.59</v>
      </c>
      <c r="AE75" s="20" cm="1">
        <f t="array" ref="AE75">CalculatePrice(AC75,$Q75,$R75,$V75,AB75,$S75)</f>
        <v>1.39</v>
      </c>
      <c r="AF75" s="1">
        <v>7650</v>
      </c>
      <c r="AG75" s="14">
        <v>1.69</v>
      </c>
      <c r="AH75" s="20" cm="1">
        <f t="array" ref="AH75">CalculatePrice(AF75,$Q75,$R75,$V75,AE75,$S75)</f>
        <v>1.39</v>
      </c>
      <c r="AI75" s="1">
        <v>7651</v>
      </c>
      <c r="AJ75" s="14">
        <v>1.69</v>
      </c>
      <c r="AK75" s="20" cm="1">
        <f t="array" ref="AK75">CalculatePrice(AI75,$Q75,$R75,$V75,AH75,$S75)</f>
        <v>1.39</v>
      </c>
      <c r="AL75" s="1">
        <v>7652</v>
      </c>
      <c r="AM75" s="14">
        <v>1.69</v>
      </c>
      <c r="AN75" s="20" cm="1">
        <f t="array" ref="AN75">CalculatePrice(AL75,$Q75,$R75,$V75,AK75,$S75)</f>
        <v>1.39</v>
      </c>
      <c r="AO75" s="1">
        <v>7649</v>
      </c>
      <c r="AP75" s="14">
        <v>1.69</v>
      </c>
      <c r="AQ75" s="20" cm="1">
        <f t="array" ref="AQ75">CalculatePrice(AO75,$Q75,$R75,$V75,AN75,$S75)</f>
        <v>1.39</v>
      </c>
    </row>
    <row r="76" spans="1:43" x14ac:dyDescent="0.25">
      <c r="A76" s="1" t="s">
        <v>371</v>
      </c>
      <c r="B76" s="1">
        <v>1</v>
      </c>
      <c r="C76" s="1">
        <v>506787</v>
      </c>
      <c r="D76" s="1" t="s">
        <v>372</v>
      </c>
      <c r="E76" s="1" t="s">
        <v>373</v>
      </c>
      <c r="F76" s="1" t="s">
        <v>53</v>
      </c>
      <c r="G76" s="1" t="s">
        <v>54</v>
      </c>
      <c r="H76" s="1" t="s">
        <v>98</v>
      </c>
      <c r="I76" s="1" t="s">
        <v>99</v>
      </c>
      <c r="J76" s="1" t="s">
        <v>100</v>
      </c>
      <c r="K76" s="1" t="s">
        <v>490</v>
      </c>
      <c r="L76" s="1" t="s">
        <v>172</v>
      </c>
      <c r="M76" s="1" t="s">
        <v>491</v>
      </c>
      <c r="N76" s="1" t="s">
        <v>173</v>
      </c>
      <c r="O76" s="1" t="s">
        <v>492</v>
      </c>
      <c r="P76" s="1" t="s">
        <v>449</v>
      </c>
      <c r="Q76" s="1" t="s">
        <v>46</v>
      </c>
      <c r="R76" s="1" t="s">
        <v>46</v>
      </c>
      <c r="S76" s="19">
        <v>4.78</v>
      </c>
      <c r="T76" s="1">
        <v>7850</v>
      </c>
      <c r="U76" s="14">
        <v>4.78</v>
      </c>
      <c r="V76" s="20" cm="1">
        <f t="array" ref="V76">CalculatePrice(T76,$Q76,$R76,$S76,0,$S76)</f>
        <v>4.78</v>
      </c>
      <c r="W76" s="1">
        <v>7800</v>
      </c>
      <c r="X76" s="14">
        <v>5.29</v>
      </c>
      <c r="Y76" s="20" cm="1">
        <f t="array" ref="Y76">CalculatePrice(W76,$Q76,$R76,$V76,V76,$S76)</f>
        <v>5.0500000000000007</v>
      </c>
      <c r="Z76" s="1">
        <v>7750</v>
      </c>
      <c r="AA76" s="14">
        <v>5.29</v>
      </c>
      <c r="AB76" s="20" cm="1">
        <f t="array" ref="AB76">CalculatePrice(Z76,$Q76,$R76,$V76,Y76,$S76)</f>
        <v>5.25</v>
      </c>
      <c r="AC76" s="1">
        <v>7700</v>
      </c>
      <c r="AD76" s="14">
        <v>5.29</v>
      </c>
      <c r="AE76" s="20" cm="1">
        <f t="array" ref="AE76">CalculatePrice(AC76,$Q76,$R76,$V76,AB76,$S76)</f>
        <v>5.3500000000000005</v>
      </c>
      <c r="AF76" s="1">
        <v>7650</v>
      </c>
      <c r="AG76" s="14">
        <v>5.49</v>
      </c>
      <c r="AH76" s="20" cm="1">
        <f t="array" ref="AH76">CalculatePrice(AF76,$Q76,$R76,$V76,AE76,$S76)</f>
        <v>5.45</v>
      </c>
      <c r="AI76" s="1">
        <v>7651</v>
      </c>
      <c r="AJ76" s="14">
        <v>5.49</v>
      </c>
      <c r="AK76" s="20" cm="1">
        <f t="array" ref="AK76">CalculatePrice(AI76,$Q76,$R76,$V76,AH76,$S76)</f>
        <v>5.5500000000000007</v>
      </c>
      <c r="AL76" s="1">
        <v>7652</v>
      </c>
      <c r="AM76" s="14">
        <v>5.99</v>
      </c>
      <c r="AN76" s="20" cm="1">
        <f t="array" ref="AN76">CalculatePrice(AL76,$Q76,$R76,$V76,AK76,$S76)</f>
        <v>5.65</v>
      </c>
      <c r="AO76" s="1">
        <v>7649</v>
      </c>
      <c r="AP76" s="14">
        <v>5.99</v>
      </c>
    </row>
    <row r="77" spans="1:43" x14ac:dyDescent="0.25">
      <c r="A77" s="1" t="s">
        <v>374</v>
      </c>
      <c r="B77" s="1">
        <v>1</v>
      </c>
      <c r="C77" s="1">
        <v>506796</v>
      </c>
      <c r="D77" s="1" t="s">
        <v>375</v>
      </c>
      <c r="E77" s="1" t="s">
        <v>376</v>
      </c>
      <c r="F77" s="1" t="s">
        <v>44</v>
      </c>
      <c r="G77" s="1" t="s">
        <v>45</v>
      </c>
      <c r="H77" s="1" t="s">
        <v>184</v>
      </c>
      <c r="I77" s="1" t="s">
        <v>446</v>
      </c>
      <c r="J77" s="1" t="s">
        <v>239</v>
      </c>
      <c r="K77" s="1" t="s">
        <v>469</v>
      </c>
      <c r="L77" s="1" t="s">
        <v>240</v>
      </c>
      <c r="M77" s="1" t="s">
        <v>470</v>
      </c>
      <c r="N77" s="1" t="s">
        <v>377</v>
      </c>
      <c r="O77" s="1" t="s">
        <v>378</v>
      </c>
      <c r="P77" s="1" t="s">
        <v>449</v>
      </c>
      <c r="Q77" s="1" t="s">
        <v>189</v>
      </c>
      <c r="R77" s="1" t="s">
        <v>46</v>
      </c>
      <c r="S77" s="19">
        <v>1.89</v>
      </c>
      <c r="T77" s="1">
        <v>7850</v>
      </c>
      <c r="U77" s="14">
        <v>1.89</v>
      </c>
      <c r="V77" s="20" cm="1">
        <f t="array" ref="V77">CalculatePrice(T77,$Q77,$R77,$S77,0,$S77)</f>
        <v>1.89</v>
      </c>
      <c r="W77" s="1">
        <v>7800</v>
      </c>
      <c r="X77" s="14">
        <v>1.89</v>
      </c>
      <c r="Y77" s="20" cm="1">
        <f t="array" ref="Y77">CalculatePrice(W77,$Q77,$R77,$V77,V77,$S77)</f>
        <v>1.89</v>
      </c>
      <c r="Z77" s="1">
        <v>7750</v>
      </c>
      <c r="AA77" s="14">
        <v>1.89</v>
      </c>
      <c r="AB77" s="20" cm="1">
        <f t="array" ref="AB77">CalculatePrice(Z77,$Q77,$R77,$V77,Y77,$S77)</f>
        <v>1.89</v>
      </c>
      <c r="AC77" s="1">
        <v>7700</v>
      </c>
      <c r="AD77" s="14">
        <v>1.89</v>
      </c>
      <c r="AE77" s="20" cm="1">
        <f t="array" ref="AE77">CalculatePrice(AC77,$Q77,$R77,$V77,AB77,$S77)</f>
        <v>1.89</v>
      </c>
      <c r="AF77" s="1">
        <v>7650</v>
      </c>
      <c r="AG77" s="14">
        <v>1.89</v>
      </c>
      <c r="AH77" s="20" cm="1">
        <f t="array" ref="AH77">CalculatePrice(AF77,$Q77,$R77,$V77,AE77,$S77)</f>
        <v>1.89</v>
      </c>
      <c r="AI77" s="1">
        <v>7651</v>
      </c>
      <c r="AJ77" s="14">
        <v>1.89</v>
      </c>
      <c r="AK77" s="20" cm="1">
        <f t="array" ref="AK77">CalculatePrice(AI77,$Q77,$R77,$V77,AH77,$S77)</f>
        <v>1.89</v>
      </c>
      <c r="AL77" s="1">
        <v>7652</v>
      </c>
      <c r="AM77" s="14">
        <v>1.89</v>
      </c>
      <c r="AN77" s="20" cm="1">
        <f t="array" ref="AN77">CalculatePrice(AL77,$Q77,$R77,$V77,AK77,$S77)</f>
        <v>1.89</v>
      </c>
      <c r="AO77" s="1">
        <v>7649</v>
      </c>
      <c r="AP77" s="14">
        <v>1.89</v>
      </c>
      <c r="AQ77" s="20" cm="1">
        <f t="array" ref="AQ77">CalculatePrice(AO77,$Q77,$R77,$V77,AN77,$S77)</f>
        <v>1.89</v>
      </c>
    </row>
    <row r="78" spans="1:43" x14ac:dyDescent="0.25">
      <c r="A78" s="1" t="s">
        <v>379</v>
      </c>
      <c r="B78" s="1">
        <v>1</v>
      </c>
      <c r="C78" s="1">
        <v>506801</v>
      </c>
      <c r="D78" s="1" t="s">
        <v>380</v>
      </c>
      <c r="E78" s="1" t="s">
        <v>381</v>
      </c>
      <c r="F78" s="1" t="s">
        <v>44</v>
      </c>
      <c r="G78" s="1" t="s">
        <v>45</v>
      </c>
      <c r="H78" s="1" t="s">
        <v>184</v>
      </c>
      <c r="I78" s="1" t="s">
        <v>446</v>
      </c>
      <c r="J78" s="1" t="s">
        <v>239</v>
      </c>
      <c r="K78" s="1" t="s">
        <v>469</v>
      </c>
      <c r="L78" s="1" t="s">
        <v>240</v>
      </c>
      <c r="M78" s="1" t="s">
        <v>470</v>
      </c>
      <c r="N78" s="1" t="s">
        <v>382</v>
      </c>
      <c r="O78" s="1" t="s">
        <v>383</v>
      </c>
      <c r="P78" s="1" t="s">
        <v>449</v>
      </c>
      <c r="Q78" s="1" t="s">
        <v>189</v>
      </c>
      <c r="R78" s="1" t="s">
        <v>46</v>
      </c>
      <c r="S78" s="19">
        <v>0.89</v>
      </c>
      <c r="T78" s="1">
        <v>7850</v>
      </c>
      <c r="U78" s="14">
        <v>0.89</v>
      </c>
      <c r="V78" s="20" cm="1">
        <f t="array" ref="V78">CalculatePrice(T78,$Q78,$R78,$S78,0,$S78)</f>
        <v>0.89</v>
      </c>
      <c r="W78" s="1">
        <v>7800</v>
      </c>
      <c r="X78" s="14">
        <v>0.89</v>
      </c>
      <c r="Y78" s="20" cm="1">
        <f t="array" ref="Y78">CalculatePrice(W78,$Q78,$R78,$V78,V78,$S78)</f>
        <v>0.89</v>
      </c>
      <c r="Z78" s="1">
        <v>7750</v>
      </c>
      <c r="AA78" s="14">
        <v>0.99</v>
      </c>
      <c r="AB78" s="20" cm="1">
        <f t="array" ref="AB78">CalculatePrice(Z78,$Q78,$R78,$V78,Y78,$S78)</f>
        <v>0.89</v>
      </c>
      <c r="AC78" s="1">
        <v>7700</v>
      </c>
      <c r="AD78" s="14">
        <v>0.99</v>
      </c>
      <c r="AE78" s="20" cm="1">
        <f t="array" ref="AE78">CalculatePrice(AC78,$Q78,$R78,$V78,AB78,$S78)</f>
        <v>0.89</v>
      </c>
      <c r="AF78" s="1">
        <v>7650</v>
      </c>
      <c r="AG78" s="14">
        <v>1.0900000000000001</v>
      </c>
      <c r="AH78" s="20" cm="1">
        <f t="array" ref="AH78">CalculatePrice(AF78,$Q78,$R78,$V78,AE78,$S78)</f>
        <v>0.89</v>
      </c>
      <c r="AI78" s="1">
        <v>7651</v>
      </c>
      <c r="AJ78" s="14">
        <v>1.0900000000000001</v>
      </c>
      <c r="AK78" s="20" cm="1">
        <f t="array" ref="AK78">CalculatePrice(AI78,$Q78,$R78,$V78,AH78,$S78)</f>
        <v>0.89</v>
      </c>
      <c r="AL78" s="1">
        <v>7652</v>
      </c>
      <c r="AM78" s="14">
        <v>1.0900000000000001</v>
      </c>
      <c r="AN78" s="20" cm="1">
        <f t="array" ref="AN78">CalculatePrice(AL78,$Q78,$R78,$V78,AK78,$S78)</f>
        <v>0.89</v>
      </c>
      <c r="AO78" s="1">
        <v>7649</v>
      </c>
      <c r="AP78" s="14">
        <v>1.0900000000000001</v>
      </c>
      <c r="AQ78" s="20" cm="1">
        <f t="array" ref="AQ78">CalculatePrice(AO78,$Q78,$R78,$V78,AN78,$S78)</f>
        <v>0.89</v>
      </c>
    </row>
    <row r="79" spans="1:43" x14ac:dyDescent="0.25">
      <c r="A79" s="1" t="s">
        <v>384</v>
      </c>
      <c r="B79" s="1">
        <v>1</v>
      </c>
      <c r="C79" s="1">
        <v>506806</v>
      </c>
      <c r="D79" s="1" t="s">
        <v>385</v>
      </c>
      <c r="E79" s="1" t="s">
        <v>386</v>
      </c>
      <c r="F79" s="1" t="s">
        <v>44</v>
      </c>
      <c r="G79" s="1" t="s">
        <v>45</v>
      </c>
      <c r="H79" s="1" t="s">
        <v>58</v>
      </c>
      <c r="I79" s="1" t="s">
        <v>59</v>
      </c>
      <c r="J79" s="1" t="s">
        <v>203</v>
      </c>
      <c r="K79" s="1" t="s">
        <v>204</v>
      </c>
      <c r="L79" s="1" t="s">
        <v>229</v>
      </c>
      <c r="M79" s="1" t="s">
        <v>230</v>
      </c>
      <c r="N79" s="1" t="s">
        <v>231</v>
      </c>
      <c r="O79" s="1" t="s">
        <v>230</v>
      </c>
      <c r="P79" s="1" t="s">
        <v>449</v>
      </c>
      <c r="Q79" s="1" t="s">
        <v>60</v>
      </c>
      <c r="R79" s="1" t="s">
        <v>46</v>
      </c>
      <c r="S79" s="19">
        <v>4.3499999999999996</v>
      </c>
      <c r="T79" s="1">
        <v>7850</v>
      </c>
      <c r="U79" s="14">
        <v>4.3499999999999996</v>
      </c>
      <c r="V79" s="20" cm="1">
        <f t="array" ref="V79">CalculatePrice(T79,$Q79,$R79,$S79,0,$S79)</f>
        <v>4.3499999999999996</v>
      </c>
      <c r="W79" s="1">
        <v>7800</v>
      </c>
      <c r="X79" s="14">
        <v>4.3499999999999996</v>
      </c>
      <c r="Y79" s="20" cm="1">
        <f t="array" ref="Y79">CalculatePrice(W79,$Q79,$R79,$V79,V79,$S79)</f>
        <v>4.3499999999999996</v>
      </c>
      <c r="Z79" s="1">
        <v>7750</v>
      </c>
      <c r="AA79" s="14">
        <v>4.3499999999999996</v>
      </c>
      <c r="AB79" s="20" cm="1">
        <f t="array" ref="AB79">CalculatePrice(Z79,$Q79,$R79,$V79,Y79,$S79)</f>
        <v>4.3499999999999996</v>
      </c>
      <c r="AC79" s="1">
        <v>7700</v>
      </c>
      <c r="AD79" s="14">
        <v>4.3499999999999996</v>
      </c>
      <c r="AE79" s="20" cm="1">
        <f t="array" ref="AE79">CalculatePrice(AC79,$Q79,$R79,$V79,AB79,$S79)</f>
        <v>4.3499999999999996</v>
      </c>
      <c r="AF79" s="1">
        <v>7650</v>
      </c>
      <c r="AH79" s="20" cm="1">
        <f t="array" ref="AH79">CalculatePrice(AF79,$Q79,$R79,$V79,AE79,$S79)</f>
        <v>4.3499999999999996</v>
      </c>
      <c r="AI79" s="1">
        <v>7651</v>
      </c>
      <c r="AK79" s="20" cm="1">
        <f t="array" ref="AK79">CalculatePrice(AI79,$Q79,$R79,$V79,AH79,$S79)</f>
        <v>4.3499999999999996</v>
      </c>
      <c r="AL79" s="1">
        <v>7652</v>
      </c>
      <c r="AN79" s="20" cm="1">
        <f t="array" ref="AN79">CalculatePrice(AL79,$Q79,$R79,$V79,AK79,$S79)</f>
        <v>4.3499999999999996</v>
      </c>
      <c r="AO79" s="1">
        <v>7649</v>
      </c>
      <c r="AP79" s="14">
        <v>4.4000000000000004</v>
      </c>
      <c r="AQ79" s="20" cm="1">
        <f t="array" ref="AQ79">CalculatePrice(AO79,$Q79,$R79,$V79,AN79,$S79)</f>
        <v>4.3499999999999996</v>
      </c>
    </row>
    <row r="80" spans="1:43" x14ac:dyDescent="0.25">
      <c r="A80" s="1" t="s">
        <v>387</v>
      </c>
      <c r="B80" s="1">
        <v>1</v>
      </c>
      <c r="C80" s="1">
        <v>506809</v>
      </c>
      <c r="D80" s="1" t="s">
        <v>388</v>
      </c>
      <c r="E80" s="1" t="s">
        <v>389</v>
      </c>
      <c r="F80" s="1" t="s">
        <v>49</v>
      </c>
      <c r="G80" s="1" t="s">
        <v>458</v>
      </c>
      <c r="H80" s="1" t="s">
        <v>50</v>
      </c>
      <c r="I80" s="1" t="s">
        <v>459</v>
      </c>
      <c r="J80" s="1" t="s">
        <v>96</v>
      </c>
      <c r="K80" s="1" t="s">
        <v>97</v>
      </c>
      <c r="L80" s="1" t="s">
        <v>162</v>
      </c>
      <c r="M80" s="1" t="s">
        <v>163</v>
      </c>
      <c r="N80" s="1" t="s">
        <v>390</v>
      </c>
      <c r="O80" s="1" t="s">
        <v>391</v>
      </c>
      <c r="P80" s="1" t="s">
        <v>449</v>
      </c>
      <c r="Q80" s="1" t="s">
        <v>46</v>
      </c>
      <c r="R80" s="1" t="s">
        <v>46</v>
      </c>
      <c r="S80" s="19">
        <v>15.25</v>
      </c>
      <c r="T80" s="1">
        <v>7850</v>
      </c>
      <c r="U80" s="14">
        <v>15.25</v>
      </c>
      <c r="V80" s="20" cm="1">
        <f t="array" ref="V80">CalculatePrice(T80,$Q80,$R80,$S80,0,$S80)</f>
        <v>15.25</v>
      </c>
      <c r="W80" s="1">
        <v>7800</v>
      </c>
      <c r="X80" s="14">
        <v>15.99</v>
      </c>
      <c r="Y80" s="20" cm="1">
        <f t="array" ref="Y80">CalculatePrice(W80,$Q80,$R80,$V80,V80,$S80)</f>
        <v>15.69</v>
      </c>
      <c r="Z80" s="1">
        <v>7750</v>
      </c>
      <c r="AA80" s="14">
        <v>16.489999999999998</v>
      </c>
      <c r="AB80" s="20" cm="1">
        <f t="array" ref="AB80">CalculatePrice(Z80,$Q80,$R80,$V80,Y80,$S80)</f>
        <v>16.29</v>
      </c>
      <c r="AC80" s="1">
        <v>7700</v>
      </c>
      <c r="AD80" s="14">
        <v>16.989999999999998</v>
      </c>
      <c r="AF80" s="1">
        <v>7650</v>
      </c>
      <c r="AG80" s="14">
        <v>16.989999999999998</v>
      </c>
      <c r="AI80" s="1">
        <v>7651</v>
      </c>
      <c r="AJ80" s="14">
        <v>17.489999999999998</v>
      </c>
      <c r="AL80" s="1">
        <v>7652</v>
      </c>
      <c r="AM80" s="14">
        <v>17.489999999999998</v>
      </c>
      <c r="AO80" s="1">
        <v>7649</v>
      </c>
      <c r="AP80" s="14">
        <v>17.989999999999998</v>
      </c>
    </row>
    <row r="81" spans="1:43" x14ac:dyDescent="0.25">
      <c r="A81" s="1" t="s">
        <v>392</v>
      </c>
      <c r="B81" s="1">
        <v>1</v>
      </c>
      <c r="C81" s="1">
        <v>506818</v>
      </c>
      <c r="D81" s="1" t="s">
        <v>393</v>
      </c>
      <c r="E81" s="1" t="s">
        <v>394</v>
      </c>
      <c r="F81" s="1" t="s">
        <v>53</v>
      </c>
      <c r="G81" s="1" t="s">
        <v>54</v>
      </c>
      <c r="H81" s="1" t="s">
        <v>55</v>
      </c>
      <c r="I81" s="1" t="s">
        <v>56</v>
      </c>
      <c r="J81" s="1" t="s">
        <v>193</v>
      </c>
      <c r="K81" s="1" t="s">
        <v>194</v>
      </c>
      <c r="L81" s="1" t="s">
        <v>195</v>
      </c>
      <c r="M81" s="1" t="s">
        <v>196</v>
      </c>
      <c r="N81" s="1" t="s">
        <v>197</v>
      </c>
      <c r="O81" s="1" t="s">
        <v>198</v>
      </c>
      <c r="P81" s="1" t="s">
        <v>449</v>
      </c>
      <c r="Q81" s="1" t="s">
        <v>57</v>
      </c>
      <c r="R81" s="1" t="s">
        <v>46</v>
      </c>
      <c r="S81" s="19">
        <v>4.0999999999999996</v>
      </c>
      <c r="T81" s="1">
        <v>7850</v>
      </c>
      <c r="U81" s="14">
        <v>4.0999999999999996</v>
      </c>
      <c r="V81" s="20" cm="1">
        <f t="array" ref="V81">CalculatePrice(T81,$Q81,$R81,$S81,0,$S81)</f>
        <v>4.0999999999999996</v>
      </c>
      <c r="W81" s="1">
        <v>7800</v>
      </c>
      <c r="X81" s="14">
        <v>4.0999999999999996</v>
      </c>
      <c r="Y81" s="20" cm="1">
        <f t="array" ref="Y81">CalculatePrice(W81,$Q81,$R81,$V81,V81,$S81)</f>
        <v>4.0999999999999996</v>
      </c>
      <c r="Z81" s="1">
        <v>7750</v>
      </c>
      <c r="AA81" s="14">
        <v>4.0999999999999996</v>
      </c>
      <c r="AB81" s="20" cm="1">
        <f t="array" ref="AB81">CalculatePrice(Z81,$Q81,$R81,$V81,Y81,$S81)</f>
        <v>4.0999999999999996</v>
      </c>
      <c r="AC81" s="1">
        <v>7700</v>
      </c>
      <c r="AD81" s="14">
        <v>4.0999999999999996</v>
      </c>
      <c r="AE81" s="20" cm="1">
        <f t="array" ref="AE81">CalculatePrice(AC81,$Q81,$R81,$V81,AB81,$S81)</f>
        <v>4.0999999999999996</v>
      </c>
      <c r="AF81" s="1">
        <v>7650</v>
      </c>
      <c r="AH81" s="20" cm="1">
        <f t="array" ref="AH81">CalculatePrice(AF81,$Q81,$R81,$V81,AE81,$S81)</f>
        <v>4.0999999999999996</v>
      </c>
      <c r="AI81" s="1">
        <v>7651</v>
      </c>
      <c r="AK81" s="20" cm="1">
        <f t="array" ref="AK81">CalculatePrice(AI81,$Q81,$R81,$V81,AH81,$S81)</f>
        <v>4.0999999999999996</v>
      </c>
      <c r="AL81" s="1">
        <v>7652</v>
      </c>
      <c r="AN81" s="20" cm="1">
        <f t="array" ref="AN81">CalculatePrice(AL81,$Q81,$R81,$V81,AK81,$S81)</f>
        <v>4.0999999999999996</v>
      </c>
      <c r="AO81" s="1">
        <v>7649</v>
      </c>
      <c r="AP81" s="14">
        <v>4.0999999999999996</v>
      </c>
      <c r="AQ81" s="20" cm="1">
        <f t="array" ref="AQ81">CalculatePrice(AO81,$Q81,$R81,$V81,AN81,$S81)</f>
        <v>4.0999999999999996</v>
      </c>
    </row>
    <row r="82" spans="1:43" x14ac:dyDescent="0.25">
      <c r="A82" s="1" t="s">
        <v>392</v>
      </c>
      <c r="B82" s="1">
        <v>2</v>
      </c>
      <c r="C82" s="1">
        <v>701708</v>
      </c>
      <c r="D82" s="1" t="s">
        <v>395</v>
      </c>
      <c r="E82" s="1" t="s">
        <v>396</v>
      </c>
      <c r="F82" s="1" t="s">
        <v>53</v>
      </c>
      <c r="G82" s="1" t="s">
        <v>54</v>
      </c>
      <c r="H82" s="1" t="s">
        <v>55</v>
      </c>
      <c r="I82" s="1" t="s">
        <v>56</v>
      </c>
      <c r="J82" s="1" t="s">
        <v>193</v>
      </c>
      <c r="K82" s="1" t="s">
        <v>194</v>
      </c>
      <c r="L82" s="1" t="s">
        <v>195</v>
      </c>
      <c r="M82" s="1" t="s">
        <v>196</v>
      </c>
      <c r="N82" s="1" t="s">
        <v>197</v>
      </c>
      <c r="O82" s="1" t="s">
        <v>198</v>
      </c>
      <c r="P82" s="1" t="s">
        <v>449</v>
      </c>
      <c r="Q82" s="1" t="s">
        <v>46</v>
      </c>
      <c r="R82" s="1" t="s">
        <v>46</v>
      </c>
      <c r="S82" s="19">
        <v>0</v>
      </c>
      <c r="T82" s="1">
        <v>7850</v>
      </c>
      <c r="V82" s="20" cm="1">
        <f t="array" ref="V82">CalculatePrice(T82,$Q82,$R82,$S82,0,$S82)</f>
        <v>0</v>
      </c>
      <c r="W82" s="1">
        <v>7800</v>
      </c>
      <c r="Y82" s="20" cm="1">
        <f t="array" ref="Y82">CalculatePrice(W82,$Q82,$R82,$V82,V82,$S82)</f>
        <v>0</v>
      </c>
      <c r="Z82" s="1">
        <v>7750</v>
      </c>
      <c r="AB82" s="20" cm="1">
        <f t="array" ref="AB82">CalculatePrice(Z82,$Q82,$R82,$V82,Y82,$S82)</f>
        <v>0</v>
      </c>
      <c r="AC82" s="1">
        <v>7700</v>
      </c>
      <c r="AF82" s="1">
        <v>7650</v>
      </c>
      <c r="AI82" s="1">
        <v>7651</v>
      </c>
      <c r="AL82" s="1">
        <v>7652</v>
      </c>
      <c r="AO82" s="1">
        <v>7649</v>
      </c>
    </row>
    <row r="83" spans="1:43" x14ac:dyDescent="0.25">
      <c r="A83" s="1" t="s">
        <v>397</v>
      </c>
      <c r="B83" s="1">
        <v>1</v>
      </c>
      <c r="C83" s="1">
        <v>506829</v>
      </c>
      <c r="D83" s="1" t="s">
        <v>398</v>
      </c>
      <c r="E83" s="1" t="s">
        <v>399</v>
      </c>
      <c r="F83" s="1" t="s">
        <v>49</v>
      </c>
      <c r="G83" s="1" t="s">
        <v>458</v>
      </c>
      <c r="H83" s="1" t="s">
        <v>50</v>
      </c>
      <c r="I83" s="1" t="s">
        <v>459</v>
      </c>
      <c r="J83" s="1" t="s">
        <v>93</v>
      </c>
      <c r="K83" s="1" t="s">
        <v>94</v>
      </c>
      <c r="L83" s="1" t="s">
        <v>324</v>
      </c>
      <c r="M83" s="1" t="s">
        <v>325</v>
      </c>
      <c r="N83" s="1" t="s">
        <v>326</v>
      </c>
      <c r="O83" s="1" t="s">
        <v>95</v>
      </c>
      <c r="P83" s="1" t="s">
        <v>449</v>
      </c>
      <c r="Q83" s="1" t="s">
        <v>46</v>
      </c>
      <c r="R83" s="1" t="s">
        <v>46</v>
      </c>
      <c r="S83" s="19">
        <v>2.06</v>
      </c>
      <c r="T83" s="1">
        <v>7850</v>
      </c>
      <c r="U83" s="14">
        <v>2.06</v>
      </c>
      <c r="V83" s="20" cm="1">
        <f t="array" ref="V83">CalculatePrice(T83,$Q83,$R83,$S83,0,$S83)</f>
        <v>2.06</v>
      </c>
      <c r="W83" s="1">
        <v>7800</v>
      </c>
      <c r="X83" s="14">
        <v>2.29</v>
      </c>
      <c r="Y83" s="20" cm="1">
        <f t="array" ref="Y83">CalculatePrice(W83,$Q83,$R83,$V83,V83,$S83)</f>
        <v>2.1900000000000004</v>
      </c>
      <c r="Z83" s="1">
        <v>7750</v>
      </c>
      <c r="AA83" s="14">
        <v>2.29</v>
      </c>
      <c r="AB83" s="20" cm="1">
        <f t="array" ref="AB83">CalculatePrice(Z83,$Q83,$R83,$V83,Y83,$S83)</f>
        <v>2.25</v>
      </c>
      <c r="AC83" s="1">
        <v>7700</v>
      </c>
      <c r="AD83" s="14">
        <v>2.4900000000000002</v>
      </c>
      <c r="AE83" s="20" cm="1">
        <f t="array" ref="AE83">CalculatePrice(AC83,$Q83,$R83,$V83,AB83,$S83)</f>
        <v>2.2900000000000005</v>
      </c>
      <c r="AF83" s="1">
        <v>7650</v>
      </c>
      <c r="AG83" s="14">
        <v>2.4900000000000002</v>
      </c>
      <c r="AH83" s="20" cm="1">
        <f t="array" ref="AH83">CalculatePrice(AF83,$Q83,$R83,$V83,AE83,$S83)</f>
        <v>2.35</v>
      </c>
      <c r="AI83" s="1">
        <v>7651</v>
      </c>
      <c r="AJ83" s="14">
        <v>2.4900000000000002</v>
      </c>
      <c r="AK83" s="20" cm="1">
        <f t="array" ref="AK83">CalculatePrice(AI83,$Q83,$R83,$V83,AH83,$S83)</f>
        <v>2.3900000000000006</v>
      </c>
      <c r="AL83" s="1">
        <v>7652</v>
      </c>
      <c r="AM83" s="14">
        <v>2.4900000000000002</v>
      </c>
      <c r="AN83" s="20" cm="1">
        <f t="array" ref="AN83">CalculatePrice(AL83,$Q83,$R83,$V83,AK83,$S83)</f>
        <v>2.4500000000000002</v>
      </c>
      <c r="AO83" s="1">
        <v>7649</v>
      </c>
      <c r="AP83" s="14">
        <v>2.4900000000000002</v>
      </c>
    </row>
    <row r="84" spans="1:43" x14ac:dyDescent="0.25">
      <c r="A84" s="1" t="s">
        <v>400</v>
      </c>
      <c r="B84" s="1">
        <v>1</v>
      </c>
      <c r="C84" s="1">
        <v>506838</v>
      </c>
      <c r="D84" s="1" t="s">
        <v>493</v>
      </c>
      <c r="E84" s="1" t="s">
        <v>401</v>
      </c>
      <c r="F84" s="1" t="s">
        <v>44</v>
      </c>
      <c r="G84" s="1" t="s">
        <v>45</v>
      </c>
      <c r="H84" s="1" t="s">
        <v>58</v>
      </c>
      <c r="I84" s="1" t="s">
        <v>59</v>
      </c>
      <c r="J84" s="1" t="s">
        <v>203</v>
      </c>
      <c r="K84" s="1" t="s">
        <v>204</v>
      </c>
      <c r="L84" s="1" t="s">
        <v>229</v>
      </c>
      <c r="M84" s="1" t="s">
        <v>230</v>
      </c>
      <c r="N84" s="1" t="s">
        <v>231</v>
      </c>
      <c r="O84" s="1" t="s">
        <v>230</v>
      </c>
      <c r="P84" s="1" t="s">
        <v>449</v>
      </c>
      <c r="Q84" s="1" t="s">
        <v>60</v>
      </c>
      <c r="R84" s="1" t="s">
        <v>46</v>
      </c>
      <c r="S84" s="19">
        <v>6.65</v>
      </c>
      <c r="T84" s="1">
        <v>7850</v>
      </c>
      <c r="U84" s="14">
        <v>6.65</v>
      </c>
      <c r="V84" s="20" cm="1">
        <f t="array" ref="V84">CalculatePrice(T84,$Q84,$R84,$S84,0,$S84)</f>
        <v>6.65</v>
      </c>
      <c r="W84" s="1">
        <v>7800</v>
      </c>
      <c r="X84" s="14">
        <v>6.65</v>
      </c>
      <c r="Y84" s="20" cm="1">
        <f t="array" ref="Y84">CalculatePrice(W84,$Q84,$R84,$V84,V84,$S84)</f>
        <v>6.65</v>
      </c>
      <c r="Z84" s="1">
        <v>7750</v>
      </c>
      <c r="AA84" s="14">
        <v>6.65</v>
      </c>
      <c r="AB84" s="20" cm="1">
        <f t="array" ref="AB84">CalculatePrice(Z84,$Q84,$R84,$V84,Y84,$S84)</f>
        <v>6.65</v>
      </c>
      <c r="AC84" s="1">
        <v>7700</v>
      </c>
      <c r="AD84" s="14">
        <v>6.65</v>
      </c>
      <c r="AE84" s="20" cm="1">
        <f t="array" ref="AE84">CalculatePrice(AC84,$Q84,$R84,$V84,AB84,$S84)</f>
        <v>6.65</v>
      </c>
      <c r="AF84" s="1">
        <v>7650</v>
      </c>
      <c r="AH84" s="20" cm="1">
        <f t="array" ref="AH84">CalculatePrice(AF84,$Q84,$R84,$V84,AE84,$S84)</f>
        <v>6.65</v>
      </c>
      <c r="AI84" s="1">
        <v>7651</v>
      </c>
      <c r="AK84" s="20" cm="1">
        <f t="array" ref="AK84">CalculatePrice(AI84,$Q84,$R84,$V84,AH84,$S84)</f>
        <v>6.65</v>
      </c>
      <c r="AL84" s="1">
        <v>7652</v>
      </c>
      <c r="AN84" s="20" cm="1">
        <f t="array" ref="AN84">CalculatePrice(AL84,$Q84,$R84,$V84,AK84,$S84)</f>
        <v>6.65</v>
      </c>
      <c r="AO84" s="1">
        <v>7649</v>
      </c>
      <c r="AP84" s="14">
        <v>6.99</v>
      </c>
      <c r="AQ84" s="20" cm="1">
        <f t="array" ref="AQ84">CalculatePrice(AO84,$Q84,$R84,$V84,AN84,$S84)</f>
        <v>6.65</v>
      </c>
    </row>
    <row r="85" spans="1:43" x14ac:dyDescent="0.25">
      <c r="A85" s="1" t="s">
        <v>402</v>
      </c>
      <c r="B85" s="1">
        <v>1</v>
      </c>
      <c r="C85" s="1">
        <v>506841</v>
      </c>
      <c r="D85" s="1" t="s">
        <v>403</v>
      </c>
      <c r="E85" s="1" t="s">
        <v>404</v>
      </c>
      <c r="F85" s="1" t="s">
        <v>53</v>
      </c>
      <c r="G85" s="1" t="s">
        <v>54</v>
      </c>
      <c r="H85" s="1" t="s">
        <v>55</v>
      </c>
      <c r="I85" s="1" t="s">
        <v>56</v>
      </c>
      <c r="J85" s="1" t="s">
        <v>193</v>
      </c>
      <c r="K85" s="1" t="s">
        <v>194</v>
      </c>
      <c r="L85" s="1" t="s">
        <v>195</v>
      </c>
      <c r="M85" s="1" t="s">
        <v>196</v>
      </c>
      <c r="N85" s="1" t="s">
        <v>197</v>
      </c>
      <c r="O85" s="1" t="s">
        <v>198</v>
      </c>
      <c r="P85" s="1" t="s">
        <v>449</v>
      </c>
      <c r="Q85" s="1" t="s">
        <v>57</v>
      </c>
      <c r="R85" s="1" t="s">
        <v>46</v>
      </c>
      <c r="S85" s="19">
        <v>4.0999999999999996</v>
      </c>
      <c r="T85" s="1">
        <v>7850</v>
      </c>
      <c r="U85" s="14">
        <v>4.0999999999999996</v>
      </c>
      <c r="V85" s="20" cm="1">
        <f t="array" ref="V85">CalculatePrice(T85,$Q85,$R85,$S85,0,$S85)</f>
        <v>4.0999999999999996</v>
      </c>
      <c r="W85" s="1">
        <v>7800</v>
      </c>
      <c r="X85" s="14">
        <v>4.0999999999999996</v>
      </c>
      <c r="Y85" s="20" cm="1">
        <f t="array" ref="Y85">CalculatePrice(W85,$Q85,$R85,$V85,V85,$S85)</f>
        <v>4.0999999999999996</v>
      </c>
      <c r="Z85" s="1">
        <v>7750</v>
      </c>
      <c r="AA85" s="14">
        <v>4.0999999999999996</v>
      </c>
      <c r="AB85" s="20" cm="1">
        <f t="array" ref="AB85">CalculatePrice(Z85,$Q85,$R85,$V85,Y85,$S85)</f>
        <v>4.0999999999999996</v>
      </c>
      <c r="AC85" s="1">
        <v>7700</v>
      </c>
      <c r="AD85" s="14">
        <v>4.0999999999999996</v>
      </c>
      <c r="AE85" s="20" cm="1">
        <f t="array" ref="AE85">CalculatePrice(AC85,$Q85,$R85,$V85,AB85,$S85)</f>
        <v>4.0999999999999996</v>
      </c>
      <c r="AF85" s="1">
        <v>7650</v>
      </c>
      <c r="AH85" s="20" cm="1">
        <f t="array" ref="AH85">CalculatePrice(AF85,$Q85,$R85,$V85,AE85,$S85)</f>
        <v>4.0999999999999996</v>
      </c>
      <c r="AI85" s="1">
        <v>7651</v>
      </c>
      <c r="AK85" s="20" cm="1">
        <f t="array" ref="AK85">CalculatePrice(AI85,$Q85,$R85,$V85,AH85,$S85)</f>
        <v>4.0999999999999996</v>
      </c>
      <c r="AL85" s="1">
        <v>7652</v>
      </c>
      <c r="AN85" s="20" cm="1">
        <f t="array" ref="AN85">CalculatePrice(AL85,$Q85,$R85,$V85,AK85,$S85)</f>
        <v>4.0999999999999996</v>
      </c>
      <c r="AO85" s="1">
        <v>7649</v>
      </c>
      <c r="AP85" s="14">
        <v>4.0999999999999996</v>
      </c>
      <c r="AQ85" s="20" cm="1">
        <f t="array" ref="AQ85">CalculatePrice(AO85,$Q85,$R85,$V85,AN85,$S85)</f>
        <v>4.0999999999999996</v>
      </c>
    </row>
    <row r="86" spans="1:43" x14ac:dyDescent="0.25">
      <c r="A86" s="1" t="s">
        <v>402</v>
      </c>
      <c r="B86" s="1">
        <v>2</v>
      </c>
      <c r="C86" s="1">
        <v>701658</v>
      </c>
      <c r="D86" s="1" t="s">
        <v>405</v>
      </c>
      <c r="E86" s="1" t="s">
        <v>406</v>
      </c>
      <c r="F86" s="1" t="s">
        <v>53</v>
      </c>
      <c r="G86" s="1" t="s">
        <v>54</v>
      </c>
      <c r="H86" s="1" t="s">
        <v>55</v>
      </c>
      <c r="I86" s="1" t="s">
        <v>56</v>
      </c>
      <c r="J86" s="1" t="s">
        <v>193</v>
      </c>
      <c r="K86" s="1" t="s">
        <v>194</v>
      </c>
      <c r="L86" s="1" t="s">
        <v>195</v>
      </c>
      <c r="M86" s="1" t="s">
        <v>196</v>
      </c>
      <c r="N86" s="1" t="s">
        <v>197</v>
      </c>
      <c r="O86" s="1" t="s">
        <v>198</v>
      </c>
      <c r="P86" s="1" t="s">
        <v>449</v>
      </c>
      <c r="Q86" s="1" t="s">
        <v>46</v>
      </c>
      <c r="R86" s="1" t="s">
        <v>46</v>
      </c>
      <c r="S86" s="19">
        <v>0</v>
      </c>
      <c r="T86" s="1">
        <v>7850</v>
      </c>
      <c r="V86" s="20" cm="1">
        <f t="array" ref="V86">CalculatePrice(T86,$Q86,$R86,$S86,0,$S86)</f>
        <v>0</v>
      </c>
      <c r="W86" s="1">
        <v>7800</v>
      </c>
      <c r="Y86" s="20" cm="1">
        <f t="array" ref="Y86">CalculatePrice(W86,$Q86,$R86,$V86,V86,$S86)</f>
        <v>0</v>
      </c>
      <c r="Z86" s="1">
        <v>7750</v>
      </c>
      <c r="AB86" s="20" cm="1">
        <f t="array" ref="AB86">CalculatePrice(Z86,$Q86,$R86,$V86,Y86,$S86)</f>
        <v>0</v>
      </c>
      <c r="AC86" s="1">
        <v>7700</v>
      </c>
      <c r="AF86" s="1">
        <v>7650</v>
      </c>
      <c r="AI86" s="1">
        <v>7651</v>
      </c>
      <c r="AL86" s="1">
        <v>7652</v>
      </c>
      <c r="AO86" s="1">
        <v>7649</v>
      </c>
    </row>
    <row r="87" spans="1:43" x14ac:dyDescent="0.25">
      <c r="A87" s="1" t="s">
        <v>174</v>
      </c>
      <c r="B87" s="1">
        <v>1</v>
      </c>
      <c r="C87" s="1">
        <v>506852</v>
      </c>
      <c r="D87" s="1" t="s">
        <v>175</v>
      </c>
      <c r="E87" s="1" t="s">
        <v>176</v>
      </c>
      <c r="F87" s="1" t="s">
        <v>49</v>
      </c>
      <c r="G87" s="1" t="s">
        <v>458</v>
      </c>
      <c r="H87" s="1" t="s">
        <v>50</v>
      </c>
      <c r="I87" s="1" t="s">
        <v>459</v>
      </c>
      <c r="J87" s="1" t="s">
        <v>51</v>
      </c>
      <c r="K87" s="1" t="s">
        <v>476</v>
      </c>
      <c r="L87" s="1" t="s">
        <v>177</v>
      </c>
      <c r="M87" s="1" t="s">
        <v>178</v>
      </c>
      <c r="N87" s="1" t="s">
        <v>179</v>
      </c>
      <c r="O87" s="1" t="s">
        <v>180</v>
      </c>
      <c r="P87" s="1" t="s">
        <v>449</v>
      </c>
      <c r="Q87" s="1" t="s">
        <v>46</v>
      </c>
      <c r="R87" s="1" t="s">
        <v>118</v>
      </c>
      <c r="S87" s="19">
        <v>11.99</v>
      </c>
      <c r="T87" s="1">
        <v>7850</v>
      </c>
      <c r="U87" s="14">
        <v>11.99</v>
      </c>
      <c r="V87" s="20" cm="1">
        <f t="array" ref="V87">CalculatePrice(T87,$Q87,$R87,$S87,0,$S87)</f>
        <v>11.99</v>
      </c>
      <c r="W87" s="1">
        <v>7800</v>
      </c>
      <c r="X87" s="14">
        <v>11.99</v>
      </c>
      <c r="Y87" s="20" cm="1">
        <f t="array" ref="Y87">CalculatePrice(W87,$Q87,$R87,$V87,V87,$S87)</f>
        <v>11.99</v>
      </c>
      <c r="Z87" s="1">
        <v>7750</v>
      </c>
      <c r="AA87" s="14">
        <v>11.99</v>
      </c>
      <c r="AB87" s="20" cm="1">
        <f t="array" ref="AB87">CalculatePrice(Z87,$Q87,$R87,$V87,Y87,$S87)</f>
        <v>11.99</v>
      </c>
      <c r="AC87" s="1">
        <v>7700</v>
      </c>
      <c r="AD87" s="14">
        <v>11.99</v>
      </c>
      <c r="AE87" s="20" cm="1">
        <f t="array" ref="AE87">CalculatePrice(AC87,$Q87,$R87,$V87,AB87,$S87)</f>
        <v>11.99</v>
      </c>
      <c r="AF87" s="1">
        <v>7650</v>
      </c>
      <c r="AG87" s="14">
        <v>11.99</v>
      </c>
      <c r="AH87" s="20" cm="1">
        <f t="array" ref="AH87">CalculatePrice(AF87,$Q87,$R87,$V87,AE87,$S87)</f>
        <v>11.99</v>
      </c>
      <c r="AI87" s="1">
        <v>7651</v>
      </c>
      <c r="AJ87" s="14">
        <v>11.99</v>
      </c>
      <c r="AK87" s="20" cm="1">
        <f t="array" ref="AK87">CalculatePrice(AI87,$Q87,$R87,$V87,AH87,$S87)</f>
        <v>11.99</v>
      </c>
      <c r="AL87" s="1">
        <v>7652</v>
      </c>
      <c r="AM87" s="14">
        <v>11.99</v>
      </c>
      <c r="AN87" s="20" cm="1">
        <f t="array" ref="AN87">CalculatePrice(AL87,$Q87,$R87,$V87,AK87,$S87)</f>
        <v>11.99</v>
      </c>
      <c r="AO87" s="1">
        <v>7649</v>
      </c>
      <c r="AP87" s="14">
        <v>11.99</v>
      </c>
      <c r="AQ87" s="20" cm="1">
        <f t="array" ref="AQ87">CalculatePrice(AO87,$Q87,$R87,$V87,AN87,$S87)</f>
        <v>11.99</v>
      </c>
    </row>
    <row r="88" spans="1:43" x14ac:dyDescent="0.25">
      <c r="A88" s="1" t="s">
        <v>407</v>
      </c>
      <c r="B88" s="1">
        <v>1</v>
      </c>
      <c r="C88" s="1">
        <v>506861</v>
      </c>
      <c r="D88" s="1" t="s">
        <v>408</v>
      </c>
      <c r="E88" s="1" t="s">
        <v>409</v>
      </c>
      <c r="F88" s="1" t="s">
        <v>44</v>
      </c>
      <c r="G88" s="1" t="s">
        <v>45</v>
      </c>
      <c r="H88" s="1" t="s">
        <v>184</v>
      </c>
      <c r="I88" s="1" t="s">
        <v>446</v>
      </c>
      <c r="J88" s="1" t="s">
        <v>185</v>
      </c>
      <c r="K88" s="1" t="s">
        <v>447</v>
      </c>
      <c r="L88" s="1" t="s">
        <v>186</v>
      </c>
      <c r="M88" s="1" t="s">
        <v>448</v>
      </c>
      <c r="N88" s="1" t="s">
        <v>410</v>
      </c>
      <c r="O88" s="1" t="s">
        <v>408</v>
      </c>
      <c r="P88" s="1" t="s">
        <v>449</v>
      </c>
      <c r="Q88" s="1" t="s">
        <v>189</v>
      </c>
      <c r="R88" s="1" t="s">
        <v>46</v>
      </c>
      <c r="S88" s="19">
        <v>2.29</v>
      </c>
      <c r="T88" s="1">
        <v>7850</v>
      </c>
      <c r="U88" s="14">
        <v>2.29</v>
      </c>
      <c r="V88" s="20" cm="1">
        <f t="array" ref="V88">CalculatePrice(T88,$Q88,$R88,$S88,0,$S88)</f>
        <v>2.29</v>
      </c>
      <c r="W88" s="1">
        <v>7800</v>
      </c>
      <c r="X88" s="14">
        <v>2.29</v>
      </c>
      <c r="Y88" s="20" cm="1">
        <f t="array" ref="Y88">CalculatePrice(W88,$Q88,$R88,$V88,V88,$S88)</f>
        <v>2.29</v>
      </c>
      <c r="Z88" s="1">
        <v>7750</v>
      </c>
      <c r="AA88" s="14">
        <v>2.4900000000000002</v>
      </c>
      <c r="AB88" s="20" cm="1">
        <f t="array" ref="AB88">CalculatePrice(Z88,$Q88,$R88,$V88,Y88,$S88)</f>
        <v>2.29</v>
      </c>
      <c r="AC88" s="1">
        <v>7700</v>
      </c>
      <c r="AD88" s="14">
        <v>2.4900000000000002</v>
      </c>
      <c r="AE88" s="20" cm="1">
        <f t="array" ref="AE88">CalculatePrice(AC88,$Q88,$R88,$V88,AB88,$S88)</f>
        <v>2.29</v>
      </c>
      <c r="AF88" s="1">
        <v>7650</v>
      </c>
      <c r="AG88" s="14">
        <v>2.59</v>
      </c>
      <c r="AH88" s="20" cm="1">
        <f t="array" ref="AH88">CalculatePrice(AF88,$Q88,$R88,$V88,AE88,$S88)</f>
        <v>2.29</v>
      </c>
      <c r="AI88" s="1">
        <v>7651</v>
      </c>
      <c r="AJ88" s="14">
        <v>2.59</v>
      </c>
      <c r="AK88" s="20" cm="1">
        <f t="array" ref="AK88">CalculatePrice(AI88,$Q88,$R88,$V88,AH88,$S88)</f>
        <v>2.29</v>
      </c>
      <c r="AL88" s="1">
        <v>7652</v>
      </c>
      <c r="AM88" s="14">
        <v>2.59</v>
      </c>
      <c r="AN88" s="20" cm="1">
        <f t="array" ref="AN88">CalculatePrice(AL88,$Q88,$R88,$V88,AK88,$S88)</f>
        <v>2.29</v>
      </c>
      <c r="AO88" s="1">
        <v>7649</v>
      </c>
      <c r="AP88" s="14">
        <v>2.59</v>
      </c>
      <c r="AQ88" s="20" cm="1">
        <f t="array" ref="AQ88">CalculatePrice(AO88,$Q88,$R88,$V88,AN88,$S88)</f>
        <v>2.29</v>
      </c>
    </row>
    <row r="89" spans="1:43" x14ac:dyDescent="0.25">
      <c r="A89" s="1" t="s">
        <v>411</v>
      </c>
      <c r="B89" s="1">
        <v>1</v>
      </c>
      <c r="C89" s="1">
        <v>506866</v>
      </c>
      <c r="D89" s="1" t="s">
        <v>412</v>
      </c>
      <c r="E89" s="1" t="s">
        <v>413</v>
      </c>
      <c r="F89" s="1" t="s">
        <v>44</v>
      </c>
      <c r="G89" s="1" t="s">
        <v>45</v>
      </c>
      <c r="H89" s="1" t="s">
        <v>184</v>
      </c>
      <c r="I89" s="1" t="s">
        <v>446</v>
      </c>
      <c r="J89" s="1" t="s">
        <v>185</v>
      </c>
      <c r="K89" s="1" t="s">
        <v>447</v>
      </c>
      <c r="L89" s="1" t="s">
        <v>414</v>
      </c>
      <c r="M89" s="1" t="s">
        <v>494</v>
      </c>
      <c r="N89" s="1" t="s">
        <v>415</v>
      </c>
      <c r="O89" s="1" t="s">
        <v>495</v>
      </c>
      <c r="P89" s="1" t="s">
        <v>449</v>
      </c>
      <c r="Q89" s="1" t="s">
        <v>189</v>
      </c>
      <c r="R89" s="1" t="s">
        <v>46</v>
      </c>
      <c r="S89" s="19">
        <v>9.99</v>
      </c>
      <c r="T89" s="1">
        <v>7850</v>
      </c>
      <c r="U89" s="14">
        <v>9.99</v>
      </c>
      <c r="V89" s="20" cm="1">
        <f t="array" ref="V89">CalculatePrice(T89,$Q89,$R89,$S89,0,$S89)</f>
        <v>9.99</v>
      </c>
      <c r="W89" s="1">
        <v>7800</v>
      </c>
      <c r="X89" s="14">
        <v>9.99</v>
      </c>
      <c r="Y89" s="20" cm="1">
        <f t="array" ref="Y89">CalculatePrice(W89,$Q89,$R89,$V89,V89,$S89)</f>
        <v>9.99</v>
      </c>
      <c r="Z89" s="1">
        <v>7750</v>
      </c>
      <c r="AA89" s="14">
        <v>10.69</v>
      </c>
      <c r="AB89" s="20" cm="1">
        <f t="array" ref="AB89">CalculatePrice(Z89,$Q89,$R89,$V89,Y89,$S89)</f>
        <v>9.99</v>
      </c>
      <c r="AC89" s="1">
        <v>7700</v>
      </c>
      <c r="AD89" s="14">
        <v>10.69</v>
      </c>
      <c r="AE89" s="20" cm="1">
        <f t="array" ref="AE89">CalculatePrice(AC89,$Q89,$R89,$V89,AB89,$S89)</f>
        <v>9.99</v>
      </c>
      <c r="AF89" s="1">
        <v>7650</v>
      </c>
      <c r="AG89" s="14">
        <v>10.79</v>
      </c>
      <c r="AH89" s="20" cm="1">
        <f t="array" ref="AH89">CalculatePrice(AF89,$Q89,$R89,$V89,AE89,$S89)</f>
        <v>9.99</v>
      </c>
      <c r="AI89" s="1">
        <v>7651</v>
      </c>
      <c r="AJ89" s="14">
        <v>10.79</v>
      </c>
      <c r="AK89" s="20" cm="1">
        <f t="array" ref="AK89">CalculatePrice(AI89,$Q89,$R89,$V89,AH89,$S89)</f>
        <v>9.99</v>
      </c>
      <c r="AL89" s="1">
        <v>7652</v>
      </c>
      <c r="AM89" s="14">
        <v>10.79</v>
      </c>
      <c r="AN89" s="20" cm="1">
        <f t="array" ref="AN89">CalculatePrice(AL89,$Q89,$R89,$V89,AK89,$S89)</f>
        <v>9.99</v>
      </c>
      <c r="AO89" s="1">
        <v>7649</v>
      </c>
      <c r="AP89" s="14">
        <v>10.79</v>
      </c>
      <c r="AQ89" s="20" cm="1">
        <f t="array" ref="AQ89">CalculatePrice(AO89,$Q89,$R89,$V89,AN89,$S89)</f>
        <v>9.99</v>
      </c>
    </row>
    <row r="90" spans="1:43" x14ac:dyDescent="0.25">
      <c r="A90" s="1" t="s">
        <v>416</v>
      </c>
      <c r="B90" s="1">
        <v>1</v>
      </c>
      <c r="C90" s="1">
        <v>506871</v>
      </c>
      <c r="D90" s="1" t="s">
        <v>496</v>
      </c>
      <c r="E90" s="1" t="s">
        <v>417</v>
      </c>
      <c r="F90" s="1" t="s">
        <v>44</v>
      </c>
      <c r="G90" s="1" t="s">
        <v>45</v>
      </c>
      <c r="H90" s="1" t="s">
        <v>184</v>
      </c>
      <c r="I90" s="1" t="s">
        <v>446</v>
      </c>
      <c r="J90" s="1" t="s">
        <v>239</v>
      </c>
      <c r="K90" s="1" t="s">
        <v>469</v>
      </c>
      <c r="L90" s="1" t="s">
        <v>240</v>
      </c>
      <c r="M90" s="1" t="s">
        <v>470</v>
      </c>
      <c r="N90" s="1" t="s">
        <v>241</v>
      </c>
      <c r="O90" s="1" t="s">
        <v>471</v>
      </c>
      <c r="P90" s="1" t="s">
        <v>449</v>
      </c>
      <c r="Q90" s="1" t="s">
        <v>189</v>
      </c>
      <c r="R90" s="1" t="s">
        <v>46</v>
      </c>
      <c r="S90" s="19">
        <v>1.99</v>
      </c>
      <c r="T90" s="1">
        <v>7850</v>
      </c>
      <c r="U90" s="14">
        <v>1.99</v>
      </c>
      <c r="V90" s="20" cm="1">
        <f t="array" ref="V90">CalculatePrice(T90,$Q90,$R90,$S90,0,$S90)</f>
        <v>1.99</v>
      </c>
      <c r="W90" s="1">
        <v>7800</v>
      </c>
      <c r="X90" s="14">
        <v>1.99</v>
      </c>
      <c r="Y90" s="20" cm="1">
        <f t="array" ref="Y90">CalculatePrice(W90,$Q90,$R90,$V90,V90,$S90)</f>
        <v>1.99</v>
      </c>
      <c r="Z90" s="1">
        <v>7750</v>
      </c>
      <c r="AA90" s="14">
        <v>1.99</v>
      </c>
      <c r="AB90" s="20" cm="1">
        <f t="array" ref="AB90">CalculatePrice(Z90,$Q90,$R90,$V90,Y90,$S90)</f>
        <v>1.99</v>
      </c>
      <c r="AC90" s="1">
        <v>7700</v>
      </c>
      <c r="AD90" s="14">
        <v>1.99</v>
      </c>
      <c r="AE90" s="20" cm="1">
        <f t="array" ref="AE90">CalculatePrice(AC90,$Q90,$R90,$V90,AB90,$S90)</f>
        <v>1.99</v>
      </c>
      <c r="AF90" s="1">
        <v>7650</v>
      </c>
      <c r="AG90" s="14">
        <v>1.99</v>
      </c>
      <c r="AH90" s="20" cm="1">
        <f t="array" ref="AH90">CalculatePrice(AF90,$Q90,$R90,$V90,AE90,$S90)</f>
        <v>1.99</v>
      </c>
      <c r="AI90" s="1">
        <v>7651</v>
      </c>
      <c r="AJ90" s="14">
        <v>1.99</v>
      </c>
      <c r="AK90" s="20" cm="1">
        <f t="array" ref="AK90">CalculatePrice(AI90,$Q90,$R90,$V90,AH90,$S90)</f>
        <v>1.99</v>
      </c>
      <c r="AL90" s="1">
        <v>7652</v>
      </c>
      <c r="AM90" s="14">
        <v>1.99</v>
      </c>
      <c r="AN90" s="20" cm="1">
        <f t="array" ref="AN90">CalculatePrice(AL90,$Q90,$R90,$V90,AK90,$S90)</f>
        <v>1.99</v>
      </c>
      <c r="AO90" s="1">
        <v>7649</v>
      </c>
      <c r="AP90" s="14">
        <v>1.99</v>
      </c>
      <c r="AQ90" s="20" cm="1">
        <f t="array" ref="AQ90">CalculatePrice(AO90,$Q90,$R90,$V90,AN90,$S90)</f>
        <v>1.99</v>
      </c>
    </row>
    <row r="91" spans="1:43" x14ac:dyDescent="0.25">
      <c r="A91" s="1" t="s">
        <v>418</v>
      </c>
      <c r="B91" s="1">
        <v>1</v>
      </c>
      <c r="C91" s="1">
        <v>506876</v>
      </c>
      <c r="D91" s="1" t="s">
        <v>419</v>
      </c>
      <c r="E91" s="1" t="s">
        <v>420</v>
      </c>
      <c r="F91" s="1" t="s">
        <v>44</v>
      </c>
      <c r="G91" s="1" t="s">
        <v>45</v>
      </c>
      <c r="H91" s="1" t="s">
        <v>184</v>
      </c>
      <c r="I91" s="1" t="s">
        <v>446</v>
      </c>
      <c r="J91" s="1" t="s">
        <v>239</v>
      </c>
      <c r="K91" s="1" t="s">
        <v>469</v>
      </c>
      <c r="L91" s="1" t="s">
        <v>240</v>
      </c>
      <c r="M91" s="1" t="s">
        <v>470</v>
      </c>
      <c r="N91" s="1" t="s">
        <v>421</v>
      </c>
      <c r="O91" s="1" t="s">
        <v>422</v>
      </c>
      <c r="P91" s="1" t="s">
        <v>449</v>
      </c>
      <c r="Q91" s="1" t="s">
        <v>189</v>
      </c>
      <c r="R91" s="1" t="s">
        <v>46</v>
      </c>
      <c r="S91" s="19">
        <v>0.99</v>
      </c>
      <c r="T91" s="1">
        <v>7850</v>
      </c>
      <c r="U91" s="14">
        <v>0.99</v>
      </c>
      <c r="V91" s="20" cm="1">
        <f t="array" ref="V91">CalculatePrice(T91,$Q91,$R91,$S91,0,$S91)</f>
        <v>0.99</v>
      </c>
      <c r="W91" s="1">
        <v>7800</v>
      </c>
      <c r="X91" s="14">
        <v>0.99</v>
      </c>
      <c r="Y91" s="20" cm="1">
        <f t="array" ref="Y91">CalculatePrice(W91,$Q91,$R91,$V91,V91,$S91)</f>
        <v>0.99</v>
      </c>
      <c r="Z91" s="1">
        <v>7750</v>
      </c>
      <c r="AA91" s="14">
        <v>0.99</v>
      </c>
      <c r="AB91" s="20" cm="1">
        <f t="array" ref="AB91">CalculatePrice(Z91,$Q91,$R91,$V91,Y91,$S91)</f>
        <v>0.99</v>
      </c>
      <c r="AC91" s="1">
        <v>7700</v>
      </c>
      <c r="AD91" s="14">
        <v>0.99</v>
      </c>
      <c r="AE91" s="20" cm="1">
        <f t="array" ref="AE91">CalculatePrice(AC91,$Q91,$R91,$V91,AB91,$S91)</f>
        <v>0.99</v>
      </c>
      <c r="AF91" s="1">
        <v>7650</v>
      </c>
      <c r="AG91" s="14">
        <v>0.99</v>
      </c>
      <c r="AH91" s="20" cm="1">
        <f t="array" ref="AH91">CalculatePrice(AF91,$Q91,$R91,$V91,AE91,$S91)</f>
        <v>0.99</v>
      </c>
      <c r="AI91" s="1">
        <v>7651</v>
      </c>
      <c r="AJ91" s="14">
        <v>0.99</v>
      </c>
      <c r="AK91" s="20" cm="1">
        <f t="array" ref="AK91">CalculatePrice(AI91,$Q91,$R91,$V91,AH91,$S91)</f>
        <v>0.99</v>
      </c>
      <c r="AL91" s="1">
        <v>7652</v>
      </c>
      <c r="AM91" s="14">
        <v>0.99</v>
      </c>
      <c r="AN91" s="20" cm="1">
        <f t="array" ref="AN91">CalculatePrice(AL91,$Q91,$R91,$V91,AK91,$S91)</f>
        <v>0.99</v>
      </c>
      <c r="AO91" s="1">
        <v>7649</v>
      </c>
      <c r="AP91" s="14">
        <v>0.99</v>
      </c>
      <c r="AQ91" s="20" cm="1">
        <f t="array" ref="AQ91">CalculatePrice(AO91,$Q91,$R91,$V91,AN91,$S91)</f>
        <v>0.99</v>
      </c>
    </row>
    <row r="92" spans="1:43" x14ac:dyDescent="0.25">
      <c r="A92" s="1" t="s">
        <v>423</v>
      </c>
      <c r="B92" s="1">
        <v>1</v>
      </c>
      <c r="C92" s="1">
        <v>506881</v>
      </c>
      <c r="D92" s="1" t="s">
        <v>424</v>
      </c>
      <c r="E92" s="1" t="s">
        <v>425</v>
      </c>
      <c r="F92" s="1" t="s">
        <v>53</v>
      </c>
      <c r="G92" s="1" t="s">
        <v>54</v>
      </c>
      <c r="H92" s="1" t="s">
        <v>55</v>
      </c>
      <c r="I92" s="1" t="s">
        <v>56</v>
      </c>
      <c r="J92" s="1" t="s">
        <v>193</v>
      </c>
      <c r="K92" s="1" t="s">
        <v>194</v>
      </c>
      <c r="L92" s="1" t="s">
        <v>195</v>
      </c>
      <c r="M92" s="1" t="s">
        <v>196</v>
      </c>
      <c r="N92" s="1" t="s">
        <v>197</v>
      </c>
      <c r="O92" s="1" t="s">
        <v>198</v>
      </c>
      <c r="P92" s="1" t="s">
        <v>449</v>
      </c>
      <c r="Q92" s="1" t="s">
        <v>57</v>
      </c>
      <c r="R92" s="1" t="s">
        <v>46</v>
      </c>
      <c r="S92" s="19">
        <v>4.0999999999999996</v>
      </c>
      <c r="T92" s="1">
        <v>7850</v>
      </c>
      <c r="U92" s="14">
        <v>4.0999999999999996</v>
      </c>
      <c r="V92" s="20" cm="1">
        <f t="array" ref="V92">CalculatePrice(T92,$Q92,$R92,$S92,0,$S92)</f>
        <v>4.0999999999999996</v>
      </c>
      <c r="W92" s="1">
        <v>7800</v>
      </c>
      <c r="X92" s="14">
        <v>4.0999999999999996</v>
      </c>
      <c r="Y92" s="20" cm="1">
        <f t="array" ref="Y92">CalculatePrice(W92,$Q92,$R92,$V92,V92,$S92)</f>
        <v>4.0999999999999996</v>
      </c>
      <c r="Z92" s="1">
        <v>7750</v>
      </c>
      <c r="AA92" s="14">
        <v>4.0999999999999996</v>
      </c>
      <c r="AB92" s="20" cm="1">
        <f t="array" ref="AB92">CalculatePrice(Z92,$Q92,$R92,$V92,Y92,$S92)</f>
        <v>4.0999999999999996</v>
      </c>
      <c r="AC92" s="1">
        <v>7700</v>
      </c>
      <c r="AD92" s="14">
        <v>4.0999999999999996</v>
      </c>
      <c r="AE92" s="20" cm="1">
        <f t="array" ref="AE92">CalculatePrice(AC92,$Q92,$R92,$V92,AB92,$S92)</f>
        <v>4.0999999999999996</v>
      </c>
      <c r="AF92" s="1">
        <v>7650</v>
      </c>
      <c r="AH92" s="20" cm="1">
        <f t="array" ref="AH92">CalculatePrice(AF92,$Q92,$R92,$V92,AE92,$S92)</f>
        <v>4.0999999999999996</v>
      </c>
      <c r="AI92" s="1">
        <v>7651</v>
      </c>
      <c r="AK92" s="20" cm="1">
        <f t="array" ref="AK92">CalculatePrice(AI92,$Q92,$R92,$V92,AH92,$S92)</f>
        <v>4.0999999999999996</v>
      </c>
      <c r="AL92" s="1">
        <v>7652</v>
      </c>
      <c r="AN92" s="20" cm="1">
        <f t="array" ref="AN92">CalculatePrice(AL92,$Q92,$R92,$V92,AK92,$S92)</f>
        <v>4.0999999999999996</v>
      </c>
      <c r="AO92" s="1">
        <v>7649</v>
      </c>
      <c r="AP92" s="14">
        <v>4.0999999999999996</v>
      </c>
      <c r="AQ92" s="20" cm="1">
        <f t="array" ref="AQ92">CalculatePrice(AO92,$Q92,$R92,$V92,AN92,$S92)</f>
        <v>4.0999999999999996</v>
      </c>
    </row>
    <row r="93" spans="1:43" x14ac:dyDescent="0.25">
      <c r="A93" s="1" t="s">
        <v>423</v>
      </c>
      <c r="B93" s="1">
        <v>2</v>
      </c>
      <c r="C93" s="1">
        <v>701501</v>
      </c>
      <c r="D93" s="1" t="s">
        <v>426</v>
      </c>
      <c r="E93" s="1" t="s">
        <v>427</v>
      </c>
      <c r="F93" s="1" t="s">
        <v>53</v>
      </c>
      <c r="G93" s="1" t="s">
        <v>54</v>
      </c>
      <c r="H93" s="1" t="s">
        <v>55</v>
      </c>
      <c r="I93" s="1" t="s">
        <v>56</v>
      </c>
      <c r="J93" s="1" t="s">
        <v>193</v>
      </c>
      <c r="K93" s="1" t="s">
        <v>194</v>
      </c>
      <c r="L93" s="1" t="s">
        <v>195</v>
      </c>
      <c r="M93" s="1" t="s">
        <v>196</v>
      </c>
      <c r="N93" s="1" t="s">
        <v>197</v>
      </c>
      <c r="O93" s="1" t="s">
        <v>198</v>
      </c>
      <c r="P93" s="1" t="s">
        <v>449</v>
      </c>
      <c r="Q93" s="1" t="s">
        <v>46</v>
      </c>
      <c r="R93" s="1" t="s">
        <v>46</v>
      </c>
      <c r="S93" s="19">
        <v>0</v>
      </c>
      <c r="T93" s="1">
        <v>7850</v>
      </c>
      <c r="W93" s="1">
        <v>7800</v>
      </c>
      <c r="Z93" s="1">
        <v>7750</v>
      </c>
      <c r="AC93" s="1">
        <v>7700</v>
      </c>
      <c r="AF93" s="1">
        <v>7650</v>
      </c>
      <c r="AI93" s="1">
        <v>7651</v>
      </c>
      <c r="AL93" s="1">
        <v>7652</v>
      </c>
      <c r="AO93" s="1">
        <v>7649</v>
      </c>
    </row>
    <row r="94" spans="1:43" x14ac:dyDescent="0.25">
      <c r="A94" s="1" t="s">
        <v>428</v>
      </c>
      <c r="B94" s="1">
        <v>1</v>
      </c>
      <c r="C94" s="1">
        <v>506892</v>
      </c>
      <c r="D94" s="1" t="s">
        <v>429</v>
      </c>
      <c r="E94" s="1" t="s">
        <v>430</v>
      </c>
      <c r="F94" s="1" t="s">
        <v>47</v>
      </c>
      <c r="G94" s="1" t="s">
        <v>453</v>
      </c>
      <c r="H94" s="1" t="s">
        <v>78</v>
      </c>
      <c r="I94" s="1" t="s">
        <v>79</v>
      </c>
      <c r="J94" s="1" t="s">
        <v>101</v>
      </c>
      <c r="K94" s="1" t="s">
        <v>497</v>
      </c>
      <c r="L94" s="1" t="s">
        <v>102</v>
      </c>
      <c r="M94" s="1" t="s">
        <v>103</v>
      </c>
      <c r="N94" s="1" t="s">
        <v>104</v>
      </c>
      <c r="O94" s="1" t="s">
        <v>105</v>
      </c>
      <c r="P94" s="1" t="s">
        <v>449</v>
      </c>
      <c r="Q94" s="1" t="s">
        <v>60</v>
      </c>
      <c r="R94" s="1" t="s">
        <v>46</v>
      </c>
      <c r="S94" s="19">
        <v>6.49</v>
      </c>
      <c r="T94" s="1">
        <v>7850</v>
      </c>
      <c r="U94" s="14">
        <v>6.49</v>
      </c>
      <c r="V94" s="20" cm="1">
        <f t="array" ref="V94">CalculatePrice(T94,$Q94,$R94,$S94,0,$S94)</f>
        <v>6.49</v>
      </c>
      <c r="W94" s="1">
        <v>7800</v>
      </c>
      <c r="X94" s="14">
        <v>6.99</v>
      </c>
      <c r="Y94" s="20" cm="1">
        <f t="array" ref="Y94">CalculatePrice(W94,$Q94,$R94,$V94,V94,$S94)</f>
        <v>6.49</v>
      </c>
      <c r="Z94" s="1">
        <v>7750</v>
      </c>
      <c r="AA94" s="14">
        <v>7.29</v>
      </c>
      <c r="AB94" s="20" cm="1">
        <f t="array" ref="AB94">CalculatePrice(Z94,$Q94,$R94,$V94,Y94,$S94)</f>
        <v>6.49</v>
      </c>
      <c r="AC94" s="1">
        <v>7700</v>
      </c>
      <c r="AD94" s="14">
        <v>7.29</v>
      </c>
      <c r="AE94" s="20" cm="1">
        <f t="array" ref="AE94">CalculatePrice(AC94,$Q94,$R94,$V94,AB94,$S94)</f>
        <v>6.49</v>
      </c>
      <c r="AF94" s="1">
        <v>7650</v>
      </c>
      <c r="AG94" s="14">
        <v>7.29</v>
      </c>
      <c r="AH94" s="20" cm="1">
        <f t="array" ref="AH94">CalculatePrice(AF94,$Q94,$R94,$V94,AE94,$S94)</f>
        <v>6.49</v>
      </c>
      <c r="AI94" s="1">
        <v>7651</v>
      </c>
      <c r="AJ94" s="14">
        <v>7.49</v>
      </c>
      <c r="AK94" s="20" cm="1">
        <f t="array" ref="AK94">CalculatePrice(AI94,$Q94,$R94,$V94,AH94,$S94)</f>
        <v>6.49</v>
      </c>
      <c r="AL94" s="1">
        <v>7652</v>
      </c>
      <c r="AM94" s="14">
        <v>7.99</v>
      </c>
      <c r="AN94" s="20" cm="1">
        <f t="array" ref="AN94">CalculatePrice(AL94,$Q94,$R94,$V94,AK94,$S94)</f>
        <v>6.49</v>
      </c>
      <c r="AO94" s="1">
        <v>7649</v>
      </c>
      <c r="AP94" s="14">
        <v>7.99</v>
      </c>
      <c r="AQ94" s="20" cm="1">
        <f t="array" ref="AQ94">CalculatePrice(AO94,$Q94,$R94,$V94,AN94,$S94)</f>
        <v>6.49</v>
      </c>
    </row>
    <row r="95" spans="1:43" x14ac:dyDescent="0.25">
      <c r="A95" s="1" t="s">
        <v>431</v>
      </c>
      <c r="B95" s="1">
        <v>1</v>
      </c>
      <c r="C95" s="1">
        <v>506901</v>
      </c>
      <c r="D95" s="1" t="s">
        <v>432</v>
      </c>
      <c r="E95" s="1" t="s">
        <v>433</v>
      </c>
      <c r="F95" s="1" t="s">
        <v>53</v>
      </c>
      <c r="G95" s="1" t="s">
        <v>54</v>
      </c>
      <c r="H95" s="1" t="s">
        <v>55</v>
      </c>
      <c r="I95" s="1" t="s">
        <v>56</v>
      </c>
      <c r="J95" s="1" t="s">
        <v>193</v>
      </c>
      <c r="K95" s="1" t="s">
        <v>194</v>
      </c>
      <c r="L95" s="1" t="s">
        <v>195</v>
      </c>
      <c r="M95" s="1" t="s">
        <v>196</v>
      </c>
      <c r="N95" s="1" t="s">
        <v>197</v>
      </c>
      <c r="O95" s="1" t="s">
        <v>198</v>
      </c>
      <c r="P95" s="1" t="s">
        <v>449</v>
      </c>
      <c r="Q95" s="1" t="s">
        <v>57</v>
      </c>
      <c r="R95" s="1" t="s">
        <v>46</v>
      </c>
      <c r="S95" s="19">
        <v>4.9000000000000004</v>
      </c>
      <c r="T95" s="1">
        <v>7850</v>
      </c>
      <c r="U95" s="14">
        <v>4.9000000000000004</v>
      </c>
      <c r="V95" s="20" cm="1">
        <f t="array" ref="V95">CalculatePrice(T95,$Q95,$R95,$S95,0,$S95)</f>
        <v>4.9000000000000004</v>
      </c>
      <c r="W95" s="1">
        <v>7800</v>
      </c>
      <c r="X95" s="14">
        <v>4.9000000000000004</v>
      </c>
      <c r="Y95" s="20" cm="1">
        <f t="array" ref="Y95">CalculatePrice(W95,$Q95,$R95,$V95,V95,$S95)</f>
        <v>4.9000000000000004</v>
      </c>
      <c r="Z95" s="1">
        <v>7750</v>
      </c>
      <c r="AA95" s="14">
        <v>4.9000000000000004</v>
      </c>
      <c r="AB95" s="20" cm="1">
        <f t="array" ref="AB95">CalculatePrice(Z95,$Q95,$R95,$V95,Y95,$S95)</f>
        <v>4.9000000000000004</v>
      </c>
      <c r="AC95" s="1">
        <v>7700</v>
      </c>
      <c r="AD95" s="14">
        <v>4.9000000000000004</v>
      </c>
      <c r="AE95" s="20" cm="1">
        <f t="array" ref="AE95">CalculatePrice(AC95,$Q95,$R95,$V95,AB95,$S95)</f>
        <v>4.9000000000000004</v>
      </c>
      <c r="AF95" s="1">
        <v>7650</v>
      </c>
      <c r="AH95" s="20" cm="1">
        <f t="array" ref="AH95">CalculatePrice(AF95,$Q95,$R95,$V95,AE95,$S95)</f>
        <v>4.9000000000000004</v>
      </c>
      <c r="AI95" s="1">
        <v>7651</v>
      </c>
      <c r="AK95" s="20" cm="1">
        <f t="array" ref="AK95">CalculatePrice(AI95,$Q95,$R95,$V95,AH95,$S95)</f>
        <v>4.9000000000000004</v>
      </c>
      <c r="AL95" s="1">
        <v>7652</v>
      </c>
      <c r="AN95" s="20" cm="1">
        <f t="array" ref="AN95">CalculatePrice(AL95,$Q95,$R95,$V95,AK95,$S95)</f>
        <v>4.9000000000000004</v>
      </c>
      <c r="AO95" s="1">
        <v>7649</v>
      </c>
      <c r="AP95" s="14">
        <v>4.9000000000000004</v>
      </c>
      <c r="AQ95" s="20" cm="1">
        <f t="array" ref="AQ95">CalculatePrice(AO95,$Q95,$R95,$V95,AN95,$S95)</f>
        <v>4.9000000000000004</v>
      </c>
    </row>
    <row r="96" spans="1:43" x14ac:dyDescent="0.25">
      <c r="A96" s="1" t="s">
        <v>431</v>
      </c>
      <c r="B96" s="1">
        <v>2</v>
      </c>
      <c r="C96" s="1">
        <v>701921</v>
      </c>
      <c r="D96" s="1" t="s">
        <v>434</v>
      </c>
      <c r="E96" s="1" t="s">
        <v>435</v>
      </c>
      <c r="F96" s="1" t="s">
        <v>53</v>
      </c>
      <c r="G96" s="1" t="s">
        <v>54</v>
      </c>
      <c r="H96" s="1" t="s">
        <v>55</v>
      </c>
      <c r="I96" s="1" t="s">
        <v>56</v>
      </c>
      <c r="J96" s="1" t="s">
        <v>193</v>
      </c>
      <c r="K96" s="1" t="s">
        <v>194</v>
      </c>
      <c r="L96" s="1" t="s">
        <v>195</v>
      </c>
      <c r="M96" s="1" t="s">
        <v>196</v>
      </c>
      <c r="N96" s="1" t="s">
        <v>197</v>
      </c>
      <c r="O96" s="1" t="s">
        <v>198</v>
      </c>
      <c r="P96" s="1" t="s">
        <v>449</v>
      </c>
      <c r="Q96" s="1" t="s">
        <v>46</v>
      </c>
      <c r="R96" s="1" t="s">
        <v>46</v>
      </c>
      <c r="S96" s="19">
        <v>0</v>
      </c>
      <c r="T96" s="1">
        <v>7850</v>
      </c>
      <c r="W96" s="1">
        <v>7800</v>
      </c>
      <c r="Z96" s="1">
        <v>7750</v>
      </c>
      <c r="AC96" s="1">
        <v>7700</v>
      </c>
      <c r="AF96" s="1">
        <v>7650</v>
      </c>
      <c r="AI96" s="1">
        <v>7651</v>
      </c>
      <c r="AL96" s="1">
        <v>7652</v>
      </c>
      <c r="AO96" s="1">
        <v>7649</v>
      </c>
    </row>
    <row r="97" spans="1:43" x14ac:dyDescent="0.25">
      <c r="A97" s="1" t="s">
        <v>436</v>
      </c>
      <c r="B97" s="1">
        <v>1</v>
      </c>
      <c r="C97" s="1">
        <v>506912</v>
      </c>
      <c r="D97" s="1" t="s">
        <v>498</v>
      </c>
      <c r="E97" s="1" t="s">
        <v>437</v>
      </c>
      <c r="F97" s="1" t="s">
        <v>44</v>
      </c>
      <c r="G97" s="1" t="s">
        <v>45</v>
      </c>
      <c r="H97" s="1" t="s">
        <v>184</v>
      </c>
      <c r="I97" s="1" t="s">
        <v>446</v>
      </c>
      <c r="J97" s="1" t="s">
        <v>185</v>
      </c>
      <c r="K97" s="1" t="s">
        <v>447</v>
      </c>
      <c r="L97" s="1" t="s">
        <v>186</v>
      </c>
      <c r="M97" s="1" t="s">
        <v>448</v>
      </c>
      <c r="N97" s="1" t="s">
        <v>438</v>
      </c>
      <c r="O97" s="1" t="s">
        <v>499</v>
      </c>
      <c r="P97" s="1" t="s">
        <v>449</v>
      </c>
      <c r="Q97" s="1" t="s">
        <v>189</v>
      </c>
      <c r="R97" s="1" t="s">
        <v>46</v>
      </c>
      <c r="S97" s="19">
        <v>2.99</v>
      </c>
      <c r="T97" s="1">
        <v>7850</v>
      </c>
      <c r="U97" s="14">
        <v>2.99</v>
      </c>
      <c r="V97" s="20" cm="1">
        <f t="array" ref="V97">CalculatePrice(T97,$Q97,$R97,$S97,0,$S97)</f>
        <v>2.99</v>
      </c>
      <c r="W97" s="1">
        <v>7800</v>
      </c>
      <c r="X97" s="14">
        <v>2.99</v>
      </c>
      <c r="Y97" s="20" cm="1">
        <f t="array" ref="Y97">CalculatePrice(W97,$Q97,$R97,$V97,V97,$S97)</f>
        <v>2.99</v>
      </c>
      <c r="Z97" s="1">
        <v>7750</v>
      </c>
      <c r="AA97" s="14">
        <v>3.49</v>
      </c>
      <c r="AB97" s="20" cm="1">
        <f t="array" ref="AB97">CalculatePrice(Z97,$Q97,$R97,$V97,Y97,$S97)</f>
        <v>2.99</v>
      </c>
      <c r="AC97" s="1">
        <v>7700</v>
      </c>
      <c r="AD97" s="14">
        <v>3.49</v>
      </c>
      <c r="AE97" s="20" cm="1">
        <f t="array" ref="AE97">CalculatePrice(AC97,$Q97,$R97,$V97,AB97,$S97)</f>
        <v>2.99</v>
      </c>
      <c r="AF97" s="1">
        <v>7650</v>
      </c>
      <c r="AG97" s="14">
        <v>3.59</v>
      </c>
      <c r="AH97" s="20" cm="1">
        <f t="array" ref="AH97">CalculatePrice(AF97,$Q97,$R97,$V97,AE97,$S97)</f>
        <v>2.99</v>
      </c>
      <c r="AI97" s="1">
        <v>7651</v>
      </c>
      <c r="AJ97" s="14">
        <v>3.59</v>
      </c>
      <c r="AK97" s="20" cm="1">
        <f t="array" ref="AK97">CalculatePrice(AI97,$Q97,$R97,$V97,AH97,$S97)</f>
        <v>2.99</v>
      </c>
      <c r="AL97" s="1">
        <v>7652</v>
      </c>
      <c r="AM97" s="14">
        <v>3.59</v>
      </c>
      <c r="AN97" s="20" cm="1">
        <f t="array" ref="AN97">CalculatePrice(AL97,$Q97,$R97,$V97,AK97,$S97)</f>
        <v>2.99</v>
      </c>
      <c r="AO97" s="1">
        <v>7649</v>
      </c>
      <c r="AP97" s="14">
        <v>3.59</v>
      </c>
      <c r="AQ97" s="20" cm="1">
        <f t="array" ref="AQ97">CalculatePrice(AO97,$Q97,$R97,$V97,AN97,$S97)</f>
        <v>2.99</v>
      </c>
    </row>
    <row r="98" spans="1:43" x14ac:dyDescent="0.25">
      <c r="A98" s="1" t="s">
        <v>439</v>
      </c>
      <c r="B98" s="1">
        <v>1</v>
      </c>
      <c r="C98" s="1">
        <v>506917</v>
      </c>
      <c r="D98" s="1" t="s">
        <v>500</v>
      </c>
      <c r="E98" s="1" t="s">
        <v>440</v>
      </c>
      <c r="F98" s="1" t="s">
        <v>47</v>
      </c>
      <c r="G98" s="1" t="s">
        <v>453</v>
      </c>
      <c r="H98" s="1" t="s">
        <v>48</v>
      </c>
      <c r="I98" s="1" t="s">
        <v>454</v>
      </c>
      <c r="J98" s="1" t="s">
        <v>61</v>
      </c>
      <c r="K98" s="1" t="s">
        <v>62</v>
      </c>
      <c r="L98" s="1" t="s">
        <v>63</v>
      </c>
      <c r="M98" s="1" t="s">
        <v>64</v>
      </c>
      <c r="N98" s="1" t="s">
        <v>290</v>
      </c>
      <c r="O98" s="1" t="s">
        <v>291</v>
      </c>
      <c r="P98" s="1" t="s">
        <v>449</v>
      </c>
      <c r="Q98" s="1" t="s">
        <v>46</v>
      </c>
      <c r="R98" s="1" t="s">
        <v>46</v>
      </c>
      <c r="S98" s="19">
        <v>5.31</v>
      </c>
      <c r="T98" s="1">
        <v>7850</v>
      </c>
      <c r="U98" s="14">
        <v>5.31</v>
      </c>
      <c r="W98" s="1">
        <v>7800</v>
      </c>
      <c r="X98" s="14">
        <v>5.99</v>
      </c>
      <c r="Z98" s="1">
        <v>7750</v>
      </c>
      <c r="AA98" s="14">
        <v>5.99</v>
      </c>
      <c r="AC98" s="1">
        <v>7700</v>
      </c>
      <c r="AD98" s="14">
        <v>5.99</v>
      </c>
      <c r="AF98" s="1">
        <v>7650</v>
      </c>
      <c r="AG98" s="14">
        <v>5.99</v>
      </c>
      <c r="AI98" s="1">
        <v>7651</v>
      </c>
      <c r="AJ98" s="14">
        <v>6.29</v>
      </c>
      <c r="AL98" s="1">
        <v>7652</v>
      </c>
      <c r="AM98" s="14">
        <v>6.29</v>
      </c>
      <c r="AO98" s="1">
        <v>7649</v>
      </c>
      <c r="AP98" s="14">
        <v>6.29</v>
      </c>
    </row>
    <row r="99" spans="1:43" x14ac:dyDescent="0.25">
      <c r="A99" s="1" t="s">
        <v>441</v>
      </c>
      <c r="B99" s="1">
        <v>1</v>
      </c>
      <c r="C99" s="1">
        <v>506926</v>
      </c>
      <c r="D99" s="1" t="s">
        <v>501</v>
      </c>
      <c r="E99" s="1" t="s">
        <v>442</v>
      </c>
      <c r="F99" s="1" t="s">
        <v>47</v>
      </c>
      <c r="G99" s="1" t="s">
        <v>453</v>
      </c>
      <c r="H99" s="1" t="s">
        <v>78</v>
      </c>
      <c r="I99" s="1" t="s">
        <v>79</v>
      </c>
      <c r="J99" s="1" t="s">
        <v>80</v>
      </c>
      <c r="K99" s="1" t="s">
        <v>81</v>
      </c>
      <c r="L99" s="1" t="s">
        <v>82</v>
      </c>
      <c r="M99" s="1" t="s">
        <v>83</v>
      </c>
      <c r="N99" s="1" t="s">
        <v>140</v>
      </c>
      <c r="O99" s="1" t="s">
        <v>141</v>
      </c>
      <c r="P99" s="1" t="s">
        <v>449</v>
      </c>
      <c r="Q99" s="1" t="s">
        <v>60</v>
      </c>
      <c r="R99" s="1" t="s">
        <v>46</v>
      </c>
      <c r="S99" s="19">
        <v>1.45</v>
      </c>
      <c r="T99" s="1">
        <v>7850</v>
      </c>
      <c r="U99" s="14">
        <v>1.45</v>
      </c>
      <c r="V99" s="20" cm="1">
        <f t="array" ref="V99">CalculatePrice(T99,$Q99,$R99,$S99,0,$S99)</f>
        <v>1.45</v>
      </c>
      <c r="W99" s="1">
        <v>7800</v>
      </c>
      <c r="X99" s="14">
        <v>1.45</v>
      </c>
      <c r="Y99" s="20" cm="1">
        <f t="array" ref="Y99">CalculatePrice(W99,$Q99,$R99,$V99,V99,$S99)</f>
        <v>1.45</v>
      </c>
      <c r="Z99" s="1">
        <v>7750</v>
      </c>
      <c r="AA99" s="14">
        <v>1.45</v>
      </c>
      <c r="AB99" s="20" cm="1">
        <f t="array" ref="AB99">CalculatePrice(Z99,$Q99,$R99,$V99,Y99,$S99)</f>
        <v>1.45</v>
      </c>
      <c r="AC99" s="1">
        <v>7700</v>
      </c>
      <c r="AD99" s="14">
        <v>1.45</v>
      </c>
      <c r="AE99" s="20" cm="1">
        <f t="array" ref="AE99">CalculatePrice(AC99,$Q99,$R99,$V99,AB99,$S99)</f>
        <v>1.45</v>
      </c>
      <c r="AF99" s="1">
        <v>7650</v>
      </c>
      <c r="AG99" s="14">
        <v>1.45</v>
      </c>
      <c r="AH99" s="20" cm="1">
        <f t="array" ref="AH99">CalculatePrice(AF99,$Q99,$R99,$V99,AE99,$S99)</f>
        <v>1.45</v>
      </c>
      <c r="AI99" s="1">
        <v>7651</v>
      </c>
      <c r="AJ99" s="14">
        <v>1.45</v>
      </c>
      <c r="AK99" s="20" cm="1">
        <f t="array" ref="AK99">CalculatePrice(AI99,$Q99,$R99,$V99,AH99,$S99)</f>
        <v>1.45</v>
      </c>
      <c r="AL99" s="1">
        <v>7652</v>
      </c>
      <c r="AM99" s="14">
        <v>1.45</v>
      </c>
      <c r="AN99" s="20" cm="1">
        <f t="array" ref="AN99">CalculatePrice(AL99,$Q99,$R99,$V99,AK99,$S99)</f>
        <v>1.45</v>
      </c>
      <c r="AO99" s="1">
        <v>7649</v>
      </c>
      <c r="AP99" s="14">
        <v>1.45</v>
      </c>
      <c r="AQ99" s="20" cm="1">
        <f t="array" ref="AQ99">CalculatePrice(AO99,$Q99,$R99,$V99,AN99,$S99)</f>
        <v>1.45</v>
      </c>
    </row>
    <row r="100" spans="1:43" x14ac:dyDescent="0.25">
      <c r="A100" s="1" t="s">
        <v>443</v>
      </c>
      <c r="B100" s="1">
        <v>1</v>
      </c>
      <c r="C100" s="1">
        <v>506935</v>
      </c>
      <c r="D100" s="1" t="s">
        <v>444</v>
      </c>
      <c r="E100" s="1" t="s">
        <v>445</v>
      </c>
      <c r="F100" s="1" t="s">
        <v>53</v>
      </c>
      <c r="G100" s="1" t="s">
        <v>54</v>
      </c>
      <c r="H100" s="1" t="s">
        <v>55</v>
      </c>
      <c r="I100" s="1" t="s">
        <v>56</v>
      </c>
      <c r="J100" s="1" t="s">
        <v>193</v>
      </c>
      <c r="K100" s="1" t="s">
        <v>194</v>
      </c>
      <c r="L100" s="1" t="s">
        <v>195</v>
      </c>
      <c r="M100" s="1" t="s">
        <v>196</v>
      </c>
      <c r="N100" s="1" t="s">
        <v>197</v>
      </c>
      <c r="O100" s="1" t="s">
        <v>198</v>
      </c>
      <c r="P100" s="1" t="s">
        <v>449</v>
      </c>
      <c r="Q100" s="1" t="s">
        <v>57</v>
      </c>
      <c r="R100" s="1" t="s">
        <v>46</v>
      </c>
      <c r="S100" s="19">
        <v>4.5</v>
      </c>
      <c r="T100" s="1">
        <v>7850</v>
      </c>
      <c r="U100" s="14">
        <v>4.5</v>
      </c>
      <c r="V100" s="20" cm="1">
        <f t="array" ref="V100">CalculatePrice(T100,$Q100,$R100,$S100,0,$S100)</f>
        <v>4.5</v>
      </c>
      <c r="W100" s="1">
        <v>7800</v>
      </c>
      <c r="X100" s="14">
        <v>4.5</v>
      </c>
      <c r="Y100" s="20" cm="1">
        <f t="array" ref="Y100">CalculatePrice(W100,$Q100,$R100,$V100,V100,$S100)</f>
        <v>4.5</v>
      </c>
      <c r="Z100" s="1">
        <v>7750</v>
      </c>
      <c r="AA100" s="14">
        <v>4.5</v>
      </c>
      <c r="AB100" s="20" cm="1">
        <f t="array" ref="AB100">CalculatePrice(Z100,$Q100,$R100,$V100,Y100,$S100)</f>
        <v>4.5</v>
      </c>
      <c r="AC100" s="1">
        <v>7700</v>
      </c>
      <c r="AD100" s="14">
        <v>4.5</v>
      </c>
      <c r="AE100" s="20" cm="1">
        <f t="array" ref="AE100">CalculatePrice(AC100,$Q100,$R100,$V100,AB100,$S100)</f>
        <v>4.5</v>
      </c>
      <c r="AF100" s="1">
        <v>7650</v>
      </c>
      <c r="AH100" s="20" cm="1">
        <f t="array" ref="AH100">CalculatePrice(AF100,$Q100,$R100,$V100,AE100,$S100)</f>
        <v>4.5</v>
      </c>
      <c r="AI100" s="1">
        <v>7651</v>
      </c>
      <c r="AK100" s="20" cm="1">
        <f t="array" ref="AK100">CalculatePrice(AI100,$Q100,$R100,$V100,AH100,$S100)</f>
        <v>4.5</v>
      </c>
      <c r="AL100" s="1">
        <v>7652</v>
      </c>
      <c r="AN100" s="20" cm="1">
        <f t="array" ref="AN100">CalculatePrice(AL100,$Q100,$R100,$V100,AK100,$S100)</f>
        <v>4.5</v>
      </c>
      <c r="AO100" s="1">
        <v>7649</v>
      </c>
      <c r="AP100" s="14">
        <v>4.5</v>
      </c>
      <c r="AQ100" s="20" cm="1">
        <f t="array" ref="AQ100">CalculatePrice(AO100,$Q100,$R100,$V100,AN100,$S100)</f>
        <v>4.5</v>
      </c>
    </row>
  </sheetData>
  <autoFilter ref="A4:AQ76738" xr:uid="{82C69FBA-32E8-4DB1-AAA2-55FF99228026}">
    <sortState xmlns:xlrd2="http://schemas.microsoft.com/office/spreadsheetml/2017/richdata2" ref="A5:AQ417">
      <sortCondition ref="A4:A417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tMPCdata">
                <anchor moveWithCells="1">
                  <from>
                    <xdr:col>3</xdr:col>
                    <xdr:colOff>47625</xdr:colOff>
                    <xdr:row>0</xdr:row>
                    <xdr:rowOff>47625</xdr:rowOff>
                  </from>
                  <to>
                    <xdr:col>3</xdr:col>
                    <xdr:colOff>1847850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itFormulas">
                <anchor moveWithCells="1">
                  <from>
                    <xdr:col>3</xdr:col>
                    <xdr:colOff>1905000</xdr:colOff>
                    <xdr:row>0</xdr:row>
                    <xdr:rowOff>38100</xdr:rowOff>
                  </from>
                  <to>
                    <xdr:col>4</xdr:col>
                    <xdr:colOff>76200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5" ma:contentTypeDescription="Stvaranje novog dokumenta." ma:contentTypeScope="" ma:versionID="64910f45df4d6faf946412cc1cef4e22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35d8d76b2fe7368ff0913b5caa872050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5DD2144-35A7-42B7-A57E-991145FEC41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14FBFEE-BAE6-4E62-A005-64DD0E57A3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12BDA3-F198-410E-9A4B-9D30B6A4AD4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MPC_kalkulator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</dc:creator>
  <cp:keywords>mpc; kalkulator</cp:keywords>
  <dc:description/>
  <cp:lastModifiedBy>Stefan Dunić</cp:lastModifiedBy>
  <cp:revision/>
  <dcterms:created xsi:type="dcterms:W3CDTF">2015-06-05T18:17:20Z</dcterms:created>
  <dcterms:modified xsi:type="dcterms:W3CDTF">2025-06-08T08:11:22Z</dcterms:modified>
  <cp:category>nabava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