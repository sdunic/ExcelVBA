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unic.stefan\Desktop\git_dev\ExcelVBA\Macro Excels\Gold\GLD14 - EUR\"/>
    </mc:Choice>
  </mc:AlternateContent>
  <xr:revisionPtr revIDLastSave="0" documentId="13_ncr:1_{0DF1FD55-C280-4FBA-98A0-813C92B92E0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PC_kalkulator" sheetId="3" r:id="rId1"/>
  </sheets>
  <functionGroups builtInGroupCount="19"/>
  <definedNames>
    <definedName name="_xlnm._FilterDatabase" localSheetId="0" hidden="1">MPC_kalkulator!$A$4:$AQ$7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7" i="3" l="1" a="1"/>
  <c r="AB7" i="3" a="1"/>
  <c r="Y7" i="3" a="1"/>
  <c r="Y6" i="3" a="1"/>
  <c r="Y5" i="3" a="1"/>
  <c r="V7" i="3" a="1"/>
  <c r="V6" i="3" a="1"/>
  <c r="V5" i="3" a="1"/>
  <c r="AE7" i="3" l="1"/>
  <c r="AB7" i="3"/>
  <c r="Y7" i="3"/>
  <c r="Y6" i="3"/>
  <c r="Y5" i="3"/>
  <c r="V7" i="3"/>
  <c r="V6" i="3"/>
  <c r="V5" i="3"/>
  <c r="AB6" i="3" a="1"/>
  <c r="AB5" i="3" a="1"/>
  <c r="AB6" i="3" l="1"/>
  <c r="AB5" i="3"/>
  <c r="AE5" i="3" a="1"/>
  <c r="AE6" i="3" a="1"/>
  <c r="AE6" i="3" l="1"/>
  <c r="AE5" i="3"/>
  <c r="AH5" i="3" a="1"/>
  <c r="AH7" i="3" a="1"/>
  <c r="AH6" i="3" a="1"/>
  <c r="AH5" i="3" l="1"/>
  <c r="AH7" i="3"/>
  <c r="AH6" i="3"/>
  <c r="AK5" i="3" a="1"/>
  <c r="AK7" i="3" a="1"/>
  <c r="AK6" i="3" a="1"/>
  <c r="AK5" i="3" l="1"/>
  <c r="AK6" i="3"/>
  <c r="AK7" i="3"/>
  <c r="AN5" i="3" a="1"/>
  <c r="AN7" i="3" a="1"/>
  <c r="AN6" i="3" a="1"/>
  <c r="AN5" i="3" l="1"/>
  <c r="AN7" i="3"/>
  <c r="AN6" i="3"/>
  <c r="AQ5" i="3" a="1"/>
  <c r="AQ7" i="3" a="1"/>
  <c r="AQ6" i="3" a="1"/>
  <c r="AQ7" i="3" l="1"/>
  <c r="AQ5" i="3"/>
  <c r="AQ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<sst xmlns="http://schemas.openxmlformats.org/spreadsheetml/2006/main" count="93" uniqueCount="87">
  <si>
    <t>MPC KALKULATOR</t>
  </si>
  <si>
    <t>CEXR</t>
  </si>
  <si>
    <t>CEXV</t>
  </si>
  <si>
    <t>CINV</t>
  </si>
  <si>
    <t>NAZIV</t>
  </si>
  <si>
    <t>BARKOD</t>
  </si>
  <si>
    <t>NIVO_1</t>
  </si>
  <si>
    <t>NIVO_1_OPIS</t>
  </si>
  <si>
    <t>NIVO_2</t>
  </si>
  <si>
    <t>NIVO_2_OPIS</t>
  </si>
  <si>
    <t>NIVO_3</t>
  </si>
  <si>
    <t>NIVO_3_OPIS</t>
  </si>
  <si>
    <t>NIVO_4</t>
  </si>
  <si>
    <t>NIVO_4_OPIS</t>
  </si>
  <si>
    <t>NIVO_5</t>
  </si>
  <si>
    <t>NIVO_5_OPIS</t>
  </si>
  <si>
    <t>DATUM</t>
  </si>
  <si>
    <t>OPIS</t>
  </si>
  <si>
    <t>SVOJSTVO</t>
  </si>
  <si>
    <t>OSNOVNA_CIJENA</t>
  </si>
  <si>
    <t>MPC_A_NTAR</t>
  </si>
  <si>
    <t>MPC_A_CIJENA</t>
  </si>
  <si>
    <t>PRIJEDLOG_MPC_A_CIJENA</t>
  </si>
  <si>
    <t>MPC_B_NTAR</t>
  </si>
  <si>
    <t>MPC_B_CIJENA</t>
  </si>
  <si>
    <t>PRIJEDLOG_MPC_B_CIJENA</t>
  </si>
  <si>
    <t>MPC_C_NTAR</t>
  </si>
  <si>
    <t>MPC_C_CIJENA</t>
  </si>
  <si>
    <t>PRIJEDLOG_MPC_C_CIJENA</t>
  </si>
  <si>
    <t>MPC_D_NTAR</t>
  </si>
  <si>
    <t>MPC_D_CIJENA</t>
  </si>
  <si>
    <t>PRIJEDLOG_MPC_D_CIJENA</t>
  </si>
  <si>
    <t>MPC_S1_NTAR</t>
  </si>
  <si>
    <t>MPC_S1_CIJENA</t>
  </si>
  <si>
    <t>PRIJEDLOG_MPC_S1_CIJENA</t>
  </si>
  <si>
    <t>MPC_S2_NTAR</t>
  </si>
  <si>
    <t>MPC_S2_CIJENA</t>
  </si>
  <si>
    <t>PRIJEDLOG_MPC_S2_CIJENA</t>
  </si>
  <si>
    <t>MPC_S3_NTAR</t>
  </si>
  <si>
    <t>MPC_S3_CIJENA</t>
  </si>
  <si>
    <t>PRIJEDLOG_MPC_S3_CIJENA</t>
  </si>
  <si>
    <t>MPC_KAMP_NTAR</t>
  </si>
  <si>
    <t>MPC_KAMP_CIJENA</t>
  </si>
  <si>
    <t>PRIJEDLOG_MPC_KAMP_CIJENA</t>
  </si>
  <si>
    <t>10000001</t>
  </si>
  <si>
    <t>BANANA</t>
  </si>
  <si>
    <t>290318</t>
  </si>
  <si>
    <t>10</t>
  </si>
  <si>
    <t>SVJEŽI ODJELI</t>
  </si>
  <si>
    <t>1010</t>
  </si>
  <si>
    <t>101010</t>
  </si>
  <si>
    <t>10101010</t>
  </si>
  <si>
    <t>1010101010</t>
  </si>
  <si>
    <t>BANANE</t>
  </si>
  <si>
    <t>VIP</t>
  </si>
  <si>
    <t/>
  </si>
  <si>
    <t>30</t>
  </si>
  <si>
    <t>3020</t>
  </si>
  <si>
    <t>20</t>
  </si>
  <si>
    <t>2010</t>
  </si>
  <si>
    <t>201010</t>
  </si>
  <si>
    <t>20101020</t>
  </si>
  <si>
    <t>SALAME TRAJNE DELIKATESA</t>
  </si>
  <si>
    <t>302050</t>
  </si>
  <si>
    <t>30205040</t>
  </si>
  <si>
    <t>WHISKEY</t>
  </si>
  <si>
    <t>10000493</t>
  </si>
  <si>
    <t>WHISKEY 1 L JACK DANIELS</t>
  </si>
  <si>
    <t>5099873045367</t>
  </si>
  <si>
    <t>3020504020</t>
  </si>
  <si>
    <t>WHISKEY - BOURBON</t>
  </si>
  <si>
    <t>2010102030</t>
  </si>
  <si>
    <t>SALAME TRAJNE KULEN</t>
  </si>
  <si>
    <t>10002049</t>
  </si>
  <si>
    <t>KULEN PIK</t>
  </si>
  <si>
    <t>292440</t>
  </si>
  <si>
    <t>VOCE I POVRCE</t>
  </si>
  <si>
    <t>VOCE</t>
  </si>
  <si>
    <t>VOCE SVJEŽE</t>
  </si>
  <si>
    <t>PAKIRANA HRANA I PICE</t>
  </si>
  <si>
    <t>PICE</t>
  </si>
  <si>
    <t>HLAÐENO I SMRZNUTO</t>
  </si>
  <si>
    <t>HLAÐENI PROGRAM</t>
  </si>
  <si>
    <t>MESNE PRERAÐEVINE</t>
  </si>
  <si>
    <t>ALKOHOLNA PICA</t>
  </si>
  <si>
    <t>2023-05-29</t>
  </si>
  <si>
    <t>v 1.02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</si>
</sst>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8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charset val="238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3" fillId="0" borderId="0" applyFont="0" applyFill="0" applyBorder="0" applyAlignment="0" applyProtection="0"/>
  </cellStyleXfs>
  <cellXfs count="22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2" fillId="2" borderId="0" xfId="0" applyNumberFormat="1" applyFont="1" applyFill="1" applyAlignment="1">
      <alignment horizontal="center"/>
    </xf>
    <xf numFmtId="49" fontId="4" fillId="4" borderId="0" xfId="0" applyNumberFormat="1" applyFont="1" applyFill="1" applyAlignment="1">
      <alignment horizontal="center"/>
    </xf>
    <xf numFmtId="49" fontId="2" fillId="2" borderId="0" xfId="0" applyNumberFormat="1" applyFont="1" applyFill="1"/>
    <xf numFmtId="49" fontId="2" fillId="2" borderId="0" xfId="0" applyNumberFormat="1" applyFont="1" applyFill="1" applyAlignment="1">
      <alignment horizontal="left" indent="1"/>
    </xf>
    <xf numFmtId="49" fontId="5" fillId="2" borderId="0" xfId="0" applyNumberFormat="1" applyFont="1" applyFill="1" applyAlignment="1">
      <alignment horizontal="left" indent="1"/>
    </xf>
    <xf numFmtId="49" fontId="4" fillId="4" borderId="0" xfId="0" applyNumberFormat="1" applyFont="1" applyFill="1"/>
    <xf numFmtId="49" fontId="4" fillId="4" borderId="0" xfId="0" applyNumberFormat="1" applyFont="1" applyFill="1" applyAlignment="1">
      <alignment horizontal="left" indent="1"/>
    </xf>
    <xf numFmtId="49" fontId="6" fillId="3" borderId="0" xfId="0" applyNumberFormat="1" applyFont="1" applyFill="1" applyAlignment="1">
      <alignment horizontal="left"/>
    </xf>
    <xf numFmtId="49" fontId="6" fillId="3" borderId="0" xfId="2" applyNumberFormat="1" applyFont="1" applyFill="1" applyAlignment="1">
      <alignment horizontal="left"/>
    </xf>
    <xf numFmtId="164" fontId="2" fillId="2" borderId="0" xfId="0" applyNumberFormat="1" applyFont="1" applyFill="1"/>
    <xf numFmtId="164" fontId="4" fillId="4" borderId="0" xfId="0" applyNumberFormat="1" applyFont="1" applyFill="1"/>
    <xf numFmtId="164" fontId="6" fillId="3" borderId="0" xfId="0" applyNumberFormat="1" applyFont="1" applyFill="1" applyAlignment="1">
      <alignment horizontal="left"/>
    </xf>
    <xf numFmtId="164" fontId="0" fillId="0" borderId="0" xfId="0" applyNumberFormat="1"/>
    <xf numFmtId="164" fontId="6" fillId="3" borderId="0" xfId="2" applyNumberFormat="1" applyFont="1" applyFill="1" applyAlignment="1">
      <alignment horizontal="left"/>
    </xf>
    <xf numFmtId="4" fontId="2" fillId="2" borderId="0" xfId="0" applyNumberFormat="1" applyFont="1" applyFill="1"/>
    <xf numFmtId="4" fontId="4" fillId="4" borderId="0" xfId="0" applyNumberFormat="1" applyFont="1" applyFill="1"/>
    <xf numFmtId="4" fontId="6" fillId="3" borderId="0" xfId="0" applyNumberFormat="1" applyFont="1" applyFill="1" applyAlignment="1">
      <alignment horizontal="left"/>
    </xf>
    <xf numFmtId="4" fontId="0" fillId="6" borderId="0" xfId="0" applyNumberFormat="1" applyFill="1"/>
    <xf numFmtId="4" fontId="0" fillId="5" borderId="0" xfId="0" applyNumberFormat="1" applyFill="1"/>
  </cellXfs>
  <cellStyles count="3">
    <cellStyle name="Excel Built-in Normal" xfId="1" xr:uid="{00000000-0005-0000-0000-000000000000}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73025</xdr:colOff>
      <xdr:row>0</xdr:row>
      <xdr:rowOff>53976</xdr:rowOff>
    </xdr:from>
    <xdr:to>
      <xdr:col>1</xdr:col>
      <xdr:colOff>504825</xdr:colOff>
      <xdr:row>1</xdr:row>
      <xdr:rowOff>154580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" y="53976"/>
          <a:ext cx="1174750" cy="2911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0</xdr:row>
          <xdr:rowOff>47625</xdr:rowOff>
        </xdr:from>
        <xdr:to>
          <xdr:col>3</xdr:col>
          <xdr:colOff>1847850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OSVJEŽI PODATKE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1905000</xdr:colOff>
          <xdr:row>0</xdr:row>
          <xdr:rowOff>38100</xdr:rowOff>
        </xdr:from>
        <xdr:to>
          <xdr:col>4</xdr:col>
          <xdr:colOff>76200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POSTAVI FORMULE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69FBA-32E8-4DB1-AAA2-55FF99228026}">
  <sheetPr codeName="Sheet1"/>
  <dimension ref="A1:AQ7"/>
  <sheetViews>
    <sheetView tabSelected="1" zoomScale="85" zoomScaleNormal="85" workbookViewId="0">
      <pane xSplit="5" ySplit="4" topLeftCell="W5" activePane="bottomRight" state="frozen"/>
      <selection pane="topRight" activeCell="F1" sqref="F1"/>
      <selection pane="bottomLeft" activeCell="A5" sqref="A5"/>
      <selection pane="bottomRight" activeCell="A5" sqref="A5"/>
    </sheetView>
  </sheetViews>
  <sheetFormatPr defaultColWidth="8.7109375" defaultRowHeight="15" x14ac:dyDescent="0.25"/>
  <cols>
    <col min="1" max="1" width="11.140625" style="2" customWidth="1"/>
    <col min="2" max="2" width="7.85546875" style="2" bestFit="1" customWidth="1"/>
    <col min="3" max="3" width="7.7109375" style="2" customWidth="1"/>
    <col min="4" max="4" width="54.42578125" style="2" bestFit="1" customWidth="1"/>
    <col min="5" max="5" width="14.140625" style="2" bestFit="1" customWidth="1"/>
    <col min="6" max="6" width="10" style="2" bestFit="1" customWidth="1"/>
    <col min="7" max="7" width="22.85546875" style="2" bestFit="1" customWidth="1"/>
    <col min="8" max="8" width="10" style="2" bestFit="1" customWidth="1"/>
    <col min="9" max="9" width="24" style="2" bestFit="1" customWidth="1"/>
    <col min="10" max="10" width="10" style="2" bestFit="1" customWidth="1"/>
    <col min="11" max="11" width="44.28515625" style="2" bestFit="1" customWidth="1"/>
    <col min="12" max="12" width="10" style="2" bestFit="1" customWidth="1"/>
    <col min="13" max="13" width="51" style="2" bestFit="1" customWidth="1"/>
    <col min="14" max="14" width="10.85546875" style="2" bestFit="1" customWidth="1"/>
    <col min="15" max="15" width="51.85546875" style="2" bestFit="1" customWidth="1"/>
    <col min="16" max="16" width="10.5703125" style="2" bestFit="1" customWidth="1"/>
    <col min="17" max="17" width="7.5703125" style="2" bestFit="1" customWidth="1"/>
    <col min="18" max="18" width="18" style="2" bestFit="1" customWidth="1"/>
    <col min="19" max="19" width="19.140625" style="20" bestFit="1" customWidth="1"/>
    <col min="20" max="20" width="15.7109375" style="2" bestFit="1" customWidth="1"/>
    <col min="21" max="21" width="16.42578125" style="15" bestFit="1" customWidth="1"/>
    <col min="22" max="22" width="28" style="21" bestFit="1" customWidth="1"/>
    <col min="23" max="23" width="15.42578125" style="2" bestFit="1" customWidth="1"/>
    <col min="24" max="24" width="16.140625" style="15" bestFit="1" customWidth="1"/>
    <col min="25" max="25" width="27.5703125" style="21" bestFit="1" customWidth="1"/>
    <col min="26" max="26" width="16.42578125" style="2" bestFit="1" customWidth="1"/>
    <col min="27" max="27" width="17" style="15" bestFit="1" customWidth="1"/>
    <col min="28" max="28" width="27.5703125" style="21" bestFit="1" customWidth="1"/>
    <col min="29" max="29" width="15.85546875" style="2" bestFit="1" customWidth="1"/>
    <col min="30" max="30" width="17" style="15" bestFit="1" customWidth="1"/>
    <col min="31" max="31" width="27.5703125" style="21" bestFit="1" customWidth="1"/>
    <col min="32" max="32" width="16.42578125" style="2" bestFit="1" customWidth="1"/>
    <col min="33" max="33" width="17" style="15" bestFit="1" customWidth="1"/>
    <col min="34" max="34" width="27.5703125" style="21" bestFit="1" customWidth="1"/>
    <col min="35" max="35" width="19.140625" style="2" bestFit="1" customWidth="1"/>
    <col min="36" max="36" width="20.42578125" style="15" bestFit="1" customWidth="1"/>
    <col min="37" max="37" width="32.28515625" style="21" bestFit="1" customWidth="1"/>
    <col min="38" max="38" width="19.140625" style="2" bestFit="1" customWidth="1"/>
    <col min="39" max="39" width="20.42578125" style="15" bestFit="1" customWidth="1"/>
    <col min="40" max="40" width="32.28515625" style="21" bestFit="1" customWidth="1"/>
    <col min="41" max="41" width="19.140625" style="2" bestFit="1" customWidth="1"/>
    <col min="42" max="42" width="20.42578125" style="15" bestFit="1" customWidth="1"/>
    <col min="43" max="43" width="32.28515625" style="21" bestFit="1" customWidth="1"/>
    <col min="44" max="16384" width="8.7109375" style="2"/>
  </cols>
  <sheetData>
    <row r="1" spans="1:43" s="5" customFormat="1" x14ac:dyDescent="0.25">
      <c r="C1" s="6"/>
      <c r="H1" s="3"/>
      <c r="S1" s="17"/>
      <c r="U1" s="12"/>
      <c r="V1" s="17"/>
      <c r="X1" s="12"/>
      <c r="Y1" s="17"/>
      <c r="AA1" s="12"/>
      <c r="AB1" s="17"/>
      <c r="AD1" s="12"/>
      <c r="AE1" s="17"/>
      <c r="AG1" s="12"/>
      <c r="AH1" s="17"/>
      <c r="AJ1" s="12"/>
      <c r="AK1" s="17"/>
      <c r="AM1" s="12"/>
      <c r="AN1" s="17"/>
      <c r="AP1" s="12"/>
      <c r="AQ1" s="17"/>
    </row>
    <row r="2" spans="1:43" s="5" customFormat="1" x14ac:dyDescent="0.25">
      <c r="C2" s="7" t="s">
        <v>86</v>
      </c>
      <c r="H2" s="3"/>
      <c r="S2" s="17"/>
      <c r="U2" s="12"/>
      <c r="V2" s="17"/>
      <c r="X2" s="12"/>
      <c r="Y2" s="17"/>
      <c r="AA2" s="12"/>
      <c r="AB2" s="17"/>
      <c r="AD2" s="12"/>
      <c r="AE2" s="17"/>
      <c r="AG2" s="12"/>
      <c r="AH2" s="17"/>
      <c r="AJ2" s="12"/>
      <c r="AK2" s="17"/>
      <c r="AM2" s="12"/>
      <c r="AN2" s="17"/>
      <c r="AP2" s="12"/>
      <c r="AQ2" s="17"/>
    </row>
    <row r="3" spans="1:43" s="8" customFormat="1" x14ac:dyDescent="0.25">
      <c r="A3" s="8" t="s">
        <v>0</v>
      </c>
      <c r="C3" s="9"/>
      <c r="H3" s="4"/>
      <c r="S3" s="18"/>
      <c r="U3" s="13"/>
      <c r="V3" s="18"/>
      <c r="X3" s="13"/>
      <c r="Y3" s="18"/>
      <c r="AA3" s="13"/>
      <c r="AB3" s="18"/>
      <c r="AD3" s="13"/>
      <c r="AE3" s="18"/>
      <c r="AG3" s="13"/>
      <c r="AH3" s="18"/>
      <c r="AJ3" s="13"/>
      <c r="AK3" s="18"/>
      <c r="AM3" s="13"/>
      <c r="AN3" s="18"/>
      <c r="AP3" s="13"/>
      <c r="AQ3" s="18"/>
    </row>
    <row r="4" spans="1:43" s="10" customFormat="1" x14ac:dyDescent="0.25">
      <c r="A4" s="10" t="s">
        <v>1</v>
      </c>
      <c r="B4" s="10" t="s">
        <v>2</v>
      </c>
      <c r="C4" s="10" t="s">
        <v>3</v>
      </c>
      <c r="D4" s="10" t="s">
        <v>4</v>
      </c>
      <c r="E4" s="10" t="s">
        <v>5</v>
      </c>
      <c r="F4" s="10" t="s">
        <v>6</v>
      </c>
      <c r="G4" s="10" t="s">
        <v>7</v>
      </c>
      <c r="H4" s="10" t="s">
        <v>8</v>
      </c>
      <c r="I4" s="10" t="s">
        <v>9</v>
      </c>
      <c r="J4" s="10" t="s">
        <v>10</v>
      </c>
      <c r="K4" s="10" t="s">
        <v>11</v>
      </c>
      <c r="L4" s="10" t="s">
        <v>12</v>
      </c>
      <c r="M4" s="10" t="s">
        <v>13</v>
      </c>
      <c r="N4" s="10" t="s">
        <v>14</v>
      </c>
      <c r="O4" s="10" t="s">
        <v>15</v>
      </c>
      <c r="P4" s="10" t="s">
        <v>16</v>
      </c>
      <c r="Q4" s="10" t="s">
        <v>17</v>
      </c>
      <c r="R4" s="10" t="s">
        <v>18</v>
      </c>
      <c r="S4" s="19" t="s">
        <v>19</v>
      </c>
      <c r="T4" s="10" t="s">
        <v>20</v>
      </c>
      <c r="U4" s="14" t="s">
        <v>21</v>
      </c>
      <c r="V4" s="19" t="s">
        <v>22</v>
      </c>
      <c r="W4" s="10" t="s">
        <v>23</v>
      </c>
      <c r="X4" s="14" t="s">
        <v>24</v>
      </c>
      <c r="Y4" s="19" t="s">
        <v>25</v>
      </c>
      <c r="Z4" s="10" t="s">
        <v>26</v>
      </c>
      <c r="AA4" s="14" t="s">
        <v>27</v>
      </c>
      <c r="AB4" s="19" t="s">
        <v>28</v>
      </c>
      <c r="AC4" s="11" t="s">
        <v>29</v>
      </c>
      <c r="AD4" s="14" t="s">
        <v>30</v>
      </c>
      <c r="AE4" s="19" t="s">
        <v>31</v>
      </c>
      <c r="AF4" s="10" t="s">
        <v>32</v>
      </c>
      <c r="AG4" s="16" t="s">
        <v>33</v>
      </c>
      <c r="AH4" s="19" t="s">
        <v>34</v>
      </c>
      <c r="AI4" s="10" t="s">
        <v>35</v>
      </c>
      <c r="AJ4" s="14" t="s">
        <v>36</v>
      </c>
      <c r="AK4" s="19" t="s">
        <v>37</v>
      </c>
      <c r="AL4" s="10" t="s">
        <v>38</v>
      </c>
      <c r="AM4" s="14" t="s">
        <v>39</v>
      </c>
      <c r="AN4" s="19" t="s">
        <v>40</v>
      </c>
      <c r="AO4" s="10" t="s">
        <v>41</v>
      </c>
      <c r="AP4" s="14" t="s">
        <v>42</v>
      </c>
      <c r="AQ4" s="19" t="s">
        <v>43</v>
      </c>
    </row>
    <row r="5" spans="1:43" x14ac:dyDescent="0.25">
      <c r="A5" s="2" t="s">
        <v>44</v>
      </c>
      <c r="B5" s="2">
        <v>1</v>
      </c>
      <c r="C5" s="2">
        <v>506400</v>
      </c>
      <c r="D5" s="2" t="s">
        <v>45</v>
      </c>
      <c r="E5" s="2" t="s">
        <v>46</v>
      </c>
      <c r="F5" s="2" t="s">
        <v>47</v>
      </c>
      <c r="G5" s="2" t="s">
        <v>48</v>
      </c>
      <c r="H5" s="2" t="s">
        <v>49</v>
      </c>
      <c r="I5" s="2" t="s">
        <v>76</v>
      </c>
      <c r="J5" s="2" t="s">
        <v>50</v>
      </c>
      <c r="K5" s="2" t="s">
        <v>77</v>
      </c>
      <c r="L5" s="2" t="s">
        <v>51</v>
      </c>
      <c r="M5" s="2" t="s">
        <v>78</v>
      </c>
      <c r="N5" s="2" t="s">
        <v>52</v>
      </c>
      <c r="O5" s="2" t="s">
        <v>53</v>
      </c>
      <c r="P5" s="1" t="s">
        <v>85</v>
      </c>
      <c r="Q5" s="2" t="s">
        <v>54</v>
      </c>
      <c r="R5" s="2" t="s">
        <v>55</v>
      </c>
      <c r="S5" s="20">
        <v>1.45</v>
      </c>
      <c r="T5" s="2">
        <v>7850</v>
      </c>
      <c r="U5" s="15">
        <v>1.45</v>
      </c>
      <c r="V5" s="21" cm="1">
        <f t="array" ref="V5">CalculatePrice(T5,$Q5,$R5,$S5,0,$S5)</f>
        <v>1.45</v>
      </c>
      <c r="W5" s="2">
        <v>7800</v>
      </c>
      <c r="X5" s="15">
        <v>1.45</v>
      </c>
      <c r="Y5" s="21" cm="1">
        <f t="array" ref="Y5">CalculatePrice(W5,$Q5,$R5,$V5,V5,$S5)</f>
        <v>1.45</v>
      </c>
      <c r="Z5" s="2">
        <v>7750</v>
      </c>
      <c r="AA5" s="15">
        <v>1.45</v>
      </c>
      <c r="AB5" s="21" cm="1">
        <f t="array" ref="AB5">CalculatePrice(Z5,$Q5,$R5,$V5,Y5,$S5)</f>
        <v>1.45</v>
      </c>
      <c r="AC5" s="2">
        <v>7700</v>
      </c>
      <c r="AD5" s="15">
        <v>1.45</v>
      </c>
      <c r="AE5" s="21" cm="1">
        <f t="array" ref="AE5">CalculatePrice(AC5,$Q5,$R5,$V5,AB5,$S5)</f>
        <v>1.45</v>
      </c>
      <c r="AF5" s="2">
        <v>7650</v>
      </c>
      <c r="AH5" s="21" cm="1">
        <f t="array" ref="AH5">CalculatePrice(AF5,$Q5,$R5,$V5,AE5,$S5)</f>
        <v>1.45</v>
      </c>
      <c r="AI5" s="2">
        <v>7651</v>
      </c>
      <c r="AK5" s="21" cm="1">
        <f t="array" ref="AK5">CalculatePrice(AI5,$Q5,$R5,$V5,AH5,$S5)</f>
        <v>1.45</v>
      </c>
      <c r="AL5" s="2">
        <v>7652</v>
      </c>
      <c r="AN5" s="21" cm="1">
        <f t="array" ref="AN5">CalculatePrice(AL5,$Q5,$R5,$V5,AK5,$S5)</f>
        <v>1.45</v>
      </c>
      <c r="AO5" s="2">
        <v>7649</v>
      </c>
      <c r="AP5" s="15">
        <v>1.45</v>
      </c>
      <c r="AQ5" s="21" cm="1">
        <f t="array" ref="AQ5">CalculatePrice(AO5,$Q5,$R5,$V5,AN5,$S5)</f>
        <v>1.45</v>
      </c>
    </row>
    <row r="6" spans="1:43" x14ac:dyDescent="0.25">
      <c r="A6" s="2" t="s">
        <v>66</v>
      </c>
      <c r="B6" s="2">
        <v>1</v>
      </c>
      <c r="C6" s="2">
        <v>510171</v>
      </c>
      <c r="D6" s="2" t="s">
        <v>67</v>
      </c>
      <c r="E6" s="2" t="s">
        <v>68</v>
      </c>
      <c r="F6" s="2" t="s">
        <v>56</v>
      </c>
      <c r="G6" s="2" t="s">
        <v>79</v>
      </c>
      <c r="H6" s="2" t="s">
        <v>57</v>
      </c>
      <c r="I6" s="2" t="s">
        <v>80</v>
      </c>
      <c r="J6" s="2" t="s">
        <v>63</v>
      </c>
      <c r="K6" s="2" t="s">
        <v>84</v>
      </c>
      <c r="L6" s="2" t="s">
        <v>64</v>
      </c>
      <c r="M6" s="2" t="s">
        <v>65</v>
      </c>
      <c r="N6" s="2" t="s">
        <v>69</v>
      </c>
      <c r="O6" s="2" t="s">
        <v>70</v>
      </c>
      <c r="P6" s="2" t="s">
        <v>85</v>
      </c>
      <c r="Q6" s="2" t="s">
        <v>55</v>
      </c>
      <c r="R6" s="2" t="s">
        <v>55</v>
      </c>
      <c r="S6" s="20">
        <v>29.99</v>
      </c>
      <c r="T6" s="2">
        <v>7850</v>
      </c>
      <c r="U6" s="15">
        <v>29.99</v>
      </c>
      <c r="V6" s="21" cm="1">
        <f t="array" ref="V6">CalculatePrice(T6,$Q6,$R6,$S6,0, $S6)</f>
        <v>29.99</v>
      </c>
      <c r="W6" s="2">
        <v>7800</v>
      </c>
      <c r="X6" s="15">
        <v>30.49</v>
      </c>
      <c r="Y6" s="21" cm="1">
        <f t="array" ref="Y6">CalculatePrice(W6,$Q6,$R6,$V6,V6, $S6)</f>
        <v>30.39</v>
      </c>
      <c r="Z6" s="2">
        <v>7750</v>
      </c>
      <c r="AA6" s="15">
        <v>30.99</v>
      </c>
      <c r="AB6" s="21" cm="1">
        <f t="array" ref="AB6">CalculatePrice(Z6,$Q6,$R6,$V6,Y6, $S6)</f>
        <v>30.79</v>
      </c>
      <c r="AC6" s="2">
        <v>7700</v>
      </c>
      <c r="AD6" s="15">
        <v>31.49</v>
      </c>
      <c r="AE6" s="21" cm="1">
        <f t="array" ref="AE6">CalculatePrice(AC6,$Q6,$R6,$V6,AB6, $S6)</f>
        <v>31.19</v>
      </c>
      <c r="AF6" s="2">
        <v>7650</v>
      </c>
      <c r="AH6" s="21" cm="1">
        <f t="array" ref="AH6">CalculatePrice(AF6,$Q6,$R6,$V6,AE6, $S6)</f>
        <v>31.59</v>
      </c>
      <c r="AI6" s="2">
        <v>7651</v>
      </c>
      <c r="AK6" s="21" cm="1">
        <f t="array" ref="AK6">CalculatePrice(AI6,$Q6,$R6,$V6,AH6, $S6)</f>
        <v>31.99</v>
      </c>
      <c r="AL6" s="2">
        <v>7652</v>
      </c>
      <c r="AN6" s="21" cm="1">
        <f t="array" ref="AN6">CalculatePrice(AL6,$Q6,$R6,$V6,AK6, $S6)</f>
        <v>32.39</v>
      </c>
      <c r="AO6" s="2">
        <v>7649</v>
      </c>
      <c r="AP6" s="15">
        <v>33.49</v>
      </c>
      <c r="AQ6" s="21" cm="1">
        <f t="array" ref="AQ6">CalculatePrice(AO6,$Q6,$R6,$V6,AN6, $S6)</f>
        <v>32.790000000000006</v>
      </c>
    </row>
    <row r="7" spans="1:43" x14ac:dyDescent="0.25">
      <c r="A7" s="2" t="s">
        <v>73</v>
      </c>
      <c r="B7" s="2">
        <v>1</v>
      </c>
      <c r="C7" s="2">
        <v>522878</v>
      </c>
      <c r="D7" s="2" t="s">
        <v>74</v>
      </c>
      <c r="E7" s="2" t="s">
        <v>75</v>
      </c>
      <c r="F7" s="2" t="s">
        <v>58</v>
      </c>
      <c r="G7" s="2" t="s">
        <v>81</v>
      </c>
      <c r="H7" s="2" t="s">
        <v>59</v>
      </c>
      <c r="I7" s="2" t="s">
        <v>82</v>
      </c>
      <c r="J7" s="2" t="s">
        <v>60</v>
      </c>
      <c r="K7" s="2" t="s">
        <v>83</v>
      </c>
      <c r="L7" s="2" t="s">
        <v>61</v>
      </c>
      <c r="M7" s="2" t="s">
        <v>62</v>
      </c>
      <c r="N7" s="2" t="s">
        <v>71</v>
      </c>
      <c r="O7" s="2" t="s">
        <v>72</v>
      </c>
      <c r="P7" s="2" t="s">
        <v>85</v>
      </c>
      <c r="Q7" s="2" t="s">
        <v>55</v>
      </c>
      <c r="R7" s="2" t="s">
        <v>55</v>
      </c>
      <c r="S7" s="20">
        <v>20.99</v>
      </c>
      <c r="T7" s="2">
        <v>7850</v>
      </c>
      <c r="U7" s="15">
        <v>20.99</v>
      </c>
      <c r="V7" s="21" cm="1">
        <f t="array" ref="V7">CalculatePrice(T7,$Q7,$R7,$S7,0, $S7)</f>
        <v>20.99</v>
      </c>
      <c r="W7" s="2">
        <v>7800</v>
      </c>
      <c r="X7" s="15">
        <v>21.49</v>
      </c>
      <c r="Y7" s="21" cm="1">
        <f t="array" ref="Y7">CalculatePrice(W7,$Q7,$R7,$V7,V7, $S7)</f>
        <v>21.39</v>
      </c>
      <c r="Z7" s="2">
        <v>7750</v>
      </c>
      <c r="AA7" s="15">
        <v>21.99</v>
      </c>
      <c r="AB7" s="21" cm="1">
        <f t="array" ref="AB7">CalculatePrice(Z7,$Q7,$R7,$V7,Y7, $S7)</f>
        <v>21.79</v>
      </c>
      <c r="AC7" s="2">
        <v>7700</v>
      </c>
      <c r="AD7" s="15">
        <v>22.49</v>
      </c>
      <c r="AE7" s="21" cm="1">
        <f t="array" ref="AE7">CalculatePrice(AC7,$Q7,$R7,$V7,AB7, $S7)</f>
        <v>22.19</v>
      </c>
      <c r="AF7" s="2">
        <v>7650</v>
      </c>
      <c r="AH7" s="21" cm="1">
        <f t="array" ref="AH7">CalculatePrice(AF7,$Q7,$R7,$V7,AE7, $S7)</f>
        <v>22.59</v>
      </c>
      <c r="AI7" s="2">
        <v>7651</v>
      </c>
      <c r="AK7" s="21" cm="1">
        <f t="array" ref="AK7">CalculatePrice(AI7,$Q7,$R7,$V7,AH7, $S7)</f>
        <v>22.99</v>
      </c>
      <c r="AL7" s="2">
        <v>7652</v>
      </c>
      <c r="AN7" s="21" cm="1">
        <f t="array" ref="AN7">CalculatePrice(AL7,$Q7,$R7,$V7,AK7, $S7)</f>
        <v>23.39</v>
      </c>
      <c r="AO7" s="2">
        <v>7649</v>
      </c>
      <c r="AP7" s="15">
        <v>24.49</v>
      </c>
      <c r="AQ7" s="21" cm="1">
        <f t="array" ref="AQ7">CalculatePrice(AO7,$Q7,$R7,$V7,AN7, $S7)</f>
        <v>23.79</v>
      </c>
    </row>
  </sheetData>
  <autoFilter ref="A4:AQ7" xr:uid="{82C69FBA-32E8-4DB1-AAA2-55FF99228026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GetMPCdata">
                <anchor moveWithCells="1">
                  <from>
                    <xdr:col>3</xdr:col>
                    <xdr:colOff>47625</xdr:colOff>
                    <xdr:row>0</xdr:row>
                    <xdr:rowOff>47625</xdr:rowOff>
                  </from>
                  <to>
                    <xdr:col>3</xdr:col>
                    <xdr:colOff>1847850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itFormulas">
                <anchor moveWithCells="1">
                  <from>
                    <xdr:col>3</xdr:col>
                    <xdr:colOff>1905000</xdr:colOff>
                    <xdr:row>0</xdr:row>
                    <xdr:rowOff>38100</xdr:rowOff>
                  </from>
                  <to>
                    <xdr:col>4</xdr:col>
                    <xdr:colOff>76200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4" ma:contentTypeDescription="Stvaranje novog dokumenta." ma:contentTypeScope="" ma:versionID="6e32bb484b0d77c4862ff2bcf845b210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5596d5f9d330aaec405d1ccea9e17a0e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5DD2144-35A7-42B7-A57E-991145FEC41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4FC96EA-0C88-4486-8D53-C7B9E9105A4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MPC_kalkulator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</dc:creator>
  <cp:keywords>mpc; kalkulator</cp:keywords>
  <dc:description/>
  <cp:lastModifiedBy>Stefan Dunić</cp:lastModifiedBy>
  <cp:revision/>
  <dcterms:created xsi:type="dcterms:W3CDTF">2015-06-05T18:17:20Z</dcterms:created>
  <dcterms:modified xsi:type="dcterms:W3CDTF">2023-07-18T10:18:43Z</dcterms:modified>
  <cp:category>nabava</cp:category>
  <cp:contentStatus/>
</cp:coreProperties>
</file>