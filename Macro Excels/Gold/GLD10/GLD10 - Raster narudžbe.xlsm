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10\"/>
    </mc:Choice>
  </mc:AlternateContent>
  <xr:revisionPtr revIDLastSave="0" documentId="13_ncr:1_{55CC0CDE-57E9-4C29-AEFE-2C5EC8572872}" xr6:coauthVersionLast="47" xr6:coauthVersionMax="47" xr10:uidLastSave="{00000000-0000-0000-0000-000000000000}"/>
  <bookViews>
    <workbookView xWindow="-120" yWindow="-120" windowWidth="32640" windowHeight="19770" xr2:uid="{00000000-000D-0000-FFFF-FFFF00000000}"/>
  </bookViews>
  <sheets>
    <sheet name="01 Priprema rastera &gt;" sheetId="3" r:id="rId1"/>
    <sheet name="02 Spremanje narudžbenica" sheetId="2" r:id="rId2"/>
  </sheets>
  <functionGroups builtInGroupCount="19"/>
  <definedNames>
    <definedName name="_xlnm._FilterDatabase" localSheetId="1" hidden="1">'02 Spremanje narudžbenica'!$B$4:$DK$402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5" i="3" l="1"/>
  <c r="D104" i="3"/>
  <c r="D100" i="3"/>
  <c r="D101" i="3"/>
  <c r="D102" i="3"/>
  <c r="D103" i="3"/>
  <c r="D92" i="3"/>
  <c r="D93" i="3" s="1"/>
  <c r="D94" i="3" s="1"/>
  <c r="D95" i="3" s="1"/>
  <c r="D96" i="3" s="1"/>
  <c r="D97" i="3" s="1"/>
  <c r="D98" i="3" s="1"/>
  <c r="D99" i="3" s="1"/>
  <c r="D88" i="3"/>
  <c r="D89" i="3" s="1"/>
  <c r="D90" i="3" s="1"/>
  <c r="D91" i="3" s="1"/>
  <c r="D73" i="3"/>
  <c r="D74" i="3"/>
  <c r="D75" i="3"/>
  <c r="D76" i="3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57" i="3"/>
  <c r="D58" i="3"/>
  <c r="D59" i="3"/>
  <c r="D60" i="3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56" i="3"/>
</calcChain>
</file>

<file path=xl/sharedStrings.xml><?xml version="1.0" encoding="utf-8"?>
<sst xmlns="http://schemas.openxmlformats.org/spreadsheetml/2006/main" count="145" uniqueCount="138">
  <si>
    <t>v 1.11</t>
  </si>
  <si>
    <t>01 PRIPREMA RASTERA &gt;</t>
  </si>
  <si>
    <t>Korisnik</t>
  </si>
  <si>
    <t>BARKODOVI (MAX 100)</t>
  </si>
  <si>
    <t>&lt; paziti na vodeće nule (paste-values)!</t>
  </si>
  <si>
    <t>Šifra skladišta/dobavljača</t>
  </si>
  <si>
    <t>30010</t>
  </si>
  <si>
    <t>Planirani datum isporuke</t>
  </si>
  <si>
    <t>Trgovine</t>
  </si>
  <si>
    <t>-1</t>
  </si>
  <si>
    <r>
      <rPr>
        <b/>
        <sz val="11"/>
        <color rgb="FFFF0000"/>
        <rFont val="Calibri"/>
        <family val="2"/>
        <charset val="238"/>
        <scheme val="minor"/>
      </rPr>
      <t xml:space="preserve">Napomene: </t>
    </r>
    <r>
      <rPr>
        <sz val="11"/>
        <color rgb="FFFF0000"/>
        <rFont val="Calibri"/>
        <family val="2"/>
        <scheme val="minor"/>
      </rPr>
      <t>ako imamo više trgovina potrebno je iste razdvojiti zarezom. Npr. 10100,10109,10190,10200.</t>
    </r>
  </si>
  <si>
    <t xml:space="preserve">                      ako želimo sve trgovine upisujemo -1.</t>
  </si>
  <si>
    <t>02 SPREMANJE NARUDŽBENICA</t>
  </si>
  <si>
    <t>EAN</t>
  </si>
  <si>
    <t>NAZIV</t>
  </si>
  <si>
    <t>INTSITE</t>
  </si>
  <si>
    <t>INTQTEC</t>
  </si>
  <si>
    <t>INTDCOM</t>
  </si>
  <si>
    <t>INTDLIV</t>
  </si>
  <si>
    <t>INTID</t>
  </si>
  <si>
    <t>INTLCDE</t>
  </si>
  <si>
    <t>INTCNUF</t>
  </si>
  <si>
    <t>INTCCOM</t>
  </si>
  <si>
    <t>INTNFILF</t>
  </si>
  <si>
    <t>INTFILC</t>
  </si>
  <si>
    <t>INTCONF</t>
  </si>
  <si>
    <t>INTGREL</t>
  </si>
  <si>
    <t>INTDEVI</t>
  </si>
  <si>
    <t>INTCOUC</t>
  </si>
  <si>
    <t>INTTXCH</t>
  </si>
  <si>
    <t>INTCOM1</t>
  </si>
  <si>
    <t>INTCOM2</t>
  </si>
  <si>
    <t>INTENLEV</t>
  </si>
  <si>
    <t>INTDLIM</t>
  </si>
  <si>
    <t>INTCODE</t>
  </si>
  <si>
    <t>INTRCOM</t>
  </si>
  <si>
    <t>INTCEXVA</t>
  </si>
  <si>
    <t>INTCEXVL</t>
  </si>
  <si>
    <t>INTUAUVC</t>
  </si>
  <si>
    <t>INTNEGO</t>
  </si>
  <si>
    <t>INTORDR</t>
  </si>
  <si>
    <t>INTSTAT</t>
  </si>
  <si>
    <t>INTCEXGLO</t>
  </si>
  <si>
    <t>INTNOOE</t>
  </si>
  <si>
    <t>INTFLUX</t>
  </si>
  <si>
    <t>INTFSTA</t>
  </si>
  <si>
    <t>INTLDIST</t>
  </si>
  <si>
    <t>INTLDNO</t>
  </si>
  <si>
    <t>INTETAT</t>
  </si>
  <si>
    <t>INTSITLI</t>
  </si>
  <si>
    <t>INTPACH</t>
  </si>
  <si>
    <t>INTCOML1</t>
  </si>
  <si>
    <t>INTCLCUS</t>
  </si>
  <si>
    <t>INTURG</t>
  </si>
  <si>
    <t>INTEXT</t>
  </si>
  <si>
    <t>INTESCO</t>
  </si>
  <si>
    <t>INTNJESC</t>
  </si>
  <si>
    <t>INTPORI</t>
  </si>
  <si>
    <t>INTINCO</t>
  </si>
  <si>
    <t>INTLIEU2</t>
  </si>
  <si>
    <t>INTTRSP</t>
  </si>
  <si>
    <t>INTFRAN</t>
  </si>
  <si>
    <t>INTVOLI</t>
  </si>
  <si>
    <t>INTPDSI</t>
  </si>
  <si>
    <t>INTTYIM</t>
  </si>
  <si>
    <t>INTDBAS</t>
  </si>
  <si>
    <t>INTDDEP</t>
  </si>
  <si>
    <t>INTCRED</t>
  </si>
  <si>
    <t>INTJOUR</t>
  </si>
  <si>
    <t>INTDARR</t>
  </si>
  <si>
    <t>INTMREG</t>
  </si>
  <si>
    <t>INTDDS</t>
  </si>
  <si>
    <t>INTNBJM</t>
  </si>
  <si>
    <t>INTDVAL</t>
  </si>
  <si>
    <t>INTDPAI</t>
  </si>
  <si>
    <t>INTNSEQ</t>
  </si>
  <si>
    <t>INTNLIG</t>
  </si>
  <si>
    <t>INTNLEN</t>
  </si>
  <si>
    <t>INTFICH</t>
  </si>
  <si>
    <t>INTCACT</t>
  </si>
  <si>
    <t>INTNERR</t>
  </si>
  <si>
    <t>INTMESS</t>
  </si>
  <si>
    <t>INTDCRE</t>
  </si>
  <si>
    <t>INTDMAJ</t>
  </si>
  <si>
    <t>INTUTIL</t>
  </si>
  <si>
    <t>INTDTRT</t>
  </si>
  <si>
    <t>INTCTVA</t>
  </si>
  <si>
    <t>INTUAPP</t>
  </si>
  <si>
    <t>INTALTF</t>
  </si>
  <si>
    <t>INTTYPUL</t>
  </si>
  <si>
    <t>INTCEXOGL</t>
  </si>
  <si>
    <t>INTCEXOPS</t>
  </si>
  <si>
    <t>INTNROUTE</t>
  </si>
  <si>
    <t>INTLIEU</t>
  </si>
  <si>
    <t>INTVALOF</t>
  </si>
  <si>
    <t>INTMOTIF</t>
  </si>
  <si>
    <t>INTTEL</t>
  </si>
  <si>
    <t>INTORI</t>
  </si>
  <si>
    <t>INTCSIN</t>
  </si>
  <si>
    <t>INTCTLA</t>
  </si>
  <si>
    <t>INTIRECYC</t>
  </si>
  <si>
    <t>INTCRGP</t>
  </si>
  <si>
    <t>INTFLIR</t>
  </si>
  <si>
    <t>INTNOLV</t>
  </si>
  <si>
    <t>INTDRAM</t>
  </si>
  <si>
    <t>INTPVSA</t>
  </si>
  <si>
    <t>INTPVSR</t>
  </si>
  <si>
    <t>INTPRFA</t>
  </si>
  <si>
    <t>INTMTDR</t>
  </si>
  <si>
    <t>INTMTVI</t>
  </si>
  <si>
    <t>INTGRA</t>
  </si>
  <si>
    <t>INTDENVREC</t>
  </si>
  <si>
    <t>INTCEAN</t>
  </si>
  <si>
    <t>INTCEXTJF</t>
  </si>
  <si>
    <t>INTEDOU</t>
  </si>
  <si>
    <t>INTRDOU</t>
  </si>
  <si>
    <t>INTDENLEV</t>
  </si>
  <si>
    <t>INTREFEXT</t>
  </si>
  <si>
    <t>INTCTRL</t>
  </si>
  <si>
    <t>INTFVSA</t>
  </si>
  <si>
    <t>INTFVSR</t>
  </si>
  <si>
    <t>INTCODLOG</t>
  </si>
  <si>
    <t>INTCODCAI</t>
  </si>
  <si>
    <t>INTUEREMP</t>
  </si>
  <si>
    <t>INTCINB</t>
  </si>
  <si>
    <t>INTNOLIGN</t>
  </si>
  <si>
    <t>INTPROPER</t>
  </si>
  <si>
    <t>3850108037388</t>
  </si>
  <si>
    <t>JOGURT 2,8% 1 kg VINDIJA</t>
  </si>
  <si>
    <t>03-04-2023</t>
  </si>
  <si>
    <t>10-04-2023</t>
  </si>
  <si>
    <t>100003556</t>
  </si>
  <si>
    <t>VIN5_30</t>
  </si>
  <si>
    <t>10000309</t>
  </si>
  <si>
    <t>RASTER_2023-04-03-15-43-54</t>
  </si>
  <si>
    <t>2023-04-03-15-43-54</t>
  </si>
  <si>
    <t>RASTER</t>
  </si>
  <si>
    <t>dunic.stefan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</si>
</sst>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/\ h:mm;@"/>
  </numFmts>
  <fonts count="17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/>
      <diagonal/>
    </border>
    <border>
      <left style="dotted">
        <color rgb="FFDA2044"/>
      </left>
      <right style="dotted">
        <color rgb="FFDA2044"/>
      </right>
      <top/>
      <bottom/>
      <diagonal/>
    </border>
    <border>
      <left style="dotted">
        <color rgb="FFDA2044"/>
      </left>
      <right style="dotted">
        <color rgb="FFDA2044"/>
      </right>
      <top/>
      <bottom style="dotted">
        <color rgb="FFDA2044"/>
      </bottom>
      <diagonal/>
    </border>
  </borders>
  <cellStyleXfs count="4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15" fillId="0" borderId="0"/>
  </cellStyleXfs>
  <cellXfs count="54">
    <xf numFmtId="0" fontId="0" fillId="0" borderId="0" xfId="0"/>
    <xf numFmtId="49" fontId="3" fillId="5" borderId="1" xfId="0" applyNumberFormat="1" applyFont="1" applyFill="1" applyBorder="1" applyAlignment="1" applyProtection="1">
      <alignment horizontal="left" indent="1"/>
      <protection locked="0"/>
    </xf>
    <xf numFmtId="14" fontId="3" fillId="5" borderId="1" xfId="0" applyNumberFormat="1" applyFont="1" applyFill="1" applyBorder="1" applyAlignment="1" applyProtection="1">
      <alignment horizontal="left" indent="1"/>
      <protection locked="0"/>
    </xf>
    <xf numFmtId="49" fontId="3" fillId="2" borderId="2" xfId="0" applyNumberFormat="1" applyFont="1" applyFill="1" applyBorder="1" applyAlignment="1" applyProtection="1">
      <alignment horizontal="left" indent="1"/>
      <protection locked="0"/>
    </xf>
    <xf numFmtId="0" fontId="3" fillId="2" borderId="0" xfId="0" applyFont="1" applyFill="1"/>
    <xf numFmtId="0" fontId="8" fillId="2" borderId="0" xfId="0" applyFont="1" applyFill="1" applyAlignment="1">
      <alignment horizontal="left" indent="1"/>
    </xf>
    <xf numFmtId="0" fontId="12" fillId="2" borderId="0" xfId="0" applyFont="1" applyFill="1"/>
    <xf numFmtId="49" fontId="3" fillId="2" borderId="0" xfId="0" applyNumberFormat="1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13" fillId="3" borderId="0" xfId="0" applyFont="1" applyFill="1"/>
    <xf numFmtId="49" fontId="2" fillId="3" borderId="0" xfId="0" applyNumberFormat="1" applyFont="1" applyFill="1" applyAlignment="1">
      <alignment horizontal="left" indent="1"/>
    </xf>
    <xf numFmtId="49" fontId="9" fillId="2" borderId="0" xfId="0" applyNumberFormat="1" applyFont="1" applyFill="1" applyAlignment="1">
      <alignment horizontal="left" indent="1"/>
    </xf>
    <xf numFmtId="0" fontId="3" fillId="6" borderId="1" xfId="0" applyFont="1" applyFill="1" applyBorder="1" applyAlignment="1">
      <alignment horizontal="left" indent="1"/>
    </xf>
    <xf numFmtId="49" fontId="2" fillId="3" borderId="0" xfId="0" applyNumberFormat="1" applyFont="1" applyFill="1" applyAlignment="1">
      <alignment horizontal="left" vertical="center" indent="1"/>
    </xf>
    <xf numFmtId="0" fontId="5" fillId="2" borderId="0" xfId="0" applyFont="1" applyFill="1" applyAlignment="1">
      <alignment horizontal="left" indent="1"/>
    </xf>
    <xf numFmtId="0" fontId="10" fillId="2" borderId="0" xfId="0" applyFont="1" applyFill="1"/>
    <xf numFmtId="0" fontId="5" fillId="2" borderId="0" xfId="0" applyFont="1" applyFill="1"/>
    <xf numFmtId="0" fontId="3" fillId="2" borderId="0" xfId="0" applyFont="1" applyFill="1" applyAlignment="1">
      <alignment horizontal="left"/>
    </xf>
    <xf numFmtId="0" fontId="6" fillId="2" borderId="0" xfId="0" applyFont="1" applyFill="1"/>
    <xf numFmtId="49" fontId="7" fillId="4" borderId="0" xfId="0" applyNumberFormat="1" applyFont="1" applyFill="1"/>
    <xf numFmtId="49" fontId="7" fillId="4" borderId="0" xfId="0" applyNumberFormat="1" applyFont="1" applyFill="1" applyAlignment="1">
      <alignment horizontal="left"/>
    </xf>
    <xf numFmtId="0" fontId="3" fillId="6" borderId="0" xfId="0" applyFont="1" applyFill="1" applyAlignment="1">
      <alignment horizontal="left"/>
    </xf>
    <xf numFmtId="49" fontId="3" fillId="2" borderId="0" xfId="0" applyNumberFormat="1" applyFont="1" applyFill="1"/>
    <xf numFmtId="164" fontId="3" fillId="2" borderId="0" xfId="0" applyNumberFormat="1" applyFont="1" applyFill="1" applyAlignment="1">
      <alignment horizontal="right"/>
    </xf>
    <xf numFmtId="164" fontId="7" fillId="4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left"/>
    </xf>
    <xf numFmtId="164" fontId="14" fillId="6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6" fillId="2" borderId="0" xfId="2" applyNumberFormat="1" applyFont="1" applyFill="1" applyAlignment="1" applyProtection="1">
      <alignment horizontal="left"/>
    </xf>
    <xf numFmtId="0" fontId="7" fillId="2" borderId="0" xfId="0" applyFont="1" applyFill="1" applyAlignment="1">
      <alignment horizontal="left"/>
    </xf>
    <xf numFmtId="0" fontId="3" fillId="2" borderId="0" xfId="2" applyNumberFormat="1" applyFont="1" applyFill="1" applyAlignment="1" applyProtection="1">
      <alignment horizontal="left"/>
    </xf>
    <xf numFmtId="0" fontId="7" fillId="4" borderId="0" xfId="0" applyFont="1" applyFill="1"/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0" fontId="6" fillId="4" borderId="0" xfId="0" applyFont="1" applyFill="1" applyAlignment="1">
      <alignment horizontal="left"/>
    </xf>
    <xf numFmtId="0" fontId="6" fillId="4" borderId="0" xfId="2" applyNumberFormat="1" applyFont="1" applyFill="1" applyAlignment="1" applyProtection="1">
      <alignment horizontal="left"/>
    </xf>
    <xf numFmtId="0" fontId="14" fillId="6" borderId="0" xfId="2" applyNumberFormat="1" applyFont="1" applyFill="1" applyAlignment="1" applyProtection="1">
      <alignment horizontal="left"/>
    </xf>
    <xf numFmtId="0" fontId="3" fillId="2" borderId="0" xfId="2" applyNumberFormat="1" applyFont="1" applyFill="1" applyAlignment="1" applyProtection="1">
      <alignment horizontal="right"/>
    </xf>
    <xf numFmtId="0" fontId="6" fillId="4" borderId="0" xfId="0" applyFont="1" applyFill="1"/>
    <xf numFmtId="0" fontId="14" fillId="6" borderId="0" xfId="0" applyFont="1" applyFill="1"/>
    <xf numFmtId="0" fontId="6" fillId="2" borderId="0" xfId="2" applyNumberFormat="1" applyFont="1" applyFill="1" applyAlignment="1" applyProtection="1"/>
    <xf numFmtId="0" fontId="3" fillId="2" borderId="0" xfId="2" applyNumberFormat="1" applyFont="1" applyFill="1" applyAlignment="1" applyProtection="1"/>
    <xf numFmtId="0" fontId="6" fillId="4" borderId="0" xfId="2" applyNumberFormat="1" applyFont="1" applyFill="1" applyAlignment="1" applyProtection="1"/>
    <xf numFmtId="0" fontId="14" fillId="6" borderId="0" xfId="2" applyNumberFormat="1" applyFont="1" applyFill="1" applyAlignment="1" applyProtection="1"/>
    <xf numFmtId="0" fontId="5" fillId="2" borderId="0" xfId="0" applyFont="1" applyFill="1" applyProtection="1">
      <protection locked="0"/>
    </xf>
    <xf numFmtId="0" fontId="8" fillId="2" borderId="0" xfId="0" applyFont="1" applyFill="1" applyAlignment="1">
      <alignment horizontal="left"/>
    </xf>
    <xf numFmtId="49" fontId="14" fillId="6" borderId="0" xfId="0" applyNumberFormat="1" applyFont="1" applyFill="1" applyAlignment="1">
      <alignment horizontal="left"/>
    </xf>
    <xf numFmtId="0" fontId="5" fillId="2" borderId="0" xfId="0" quotePrefix="1" applyFont="1" applyFill="1" applyProtection="1">
      <protection locked="0"/>
    </xf>
    <xf numFmtId="49" fontId="3" fillId="5" borderId="3" xfId="0" applyNumberFormat="1" applyFont="1" applyFill="1" applyBorder="1" applyAlignment="1" applyProtection="1">
      <alignment horizontal="left" vertical="top" wrapText="1" indent="1"/>
      <protection locked="0"/>
    </xf>
    <xf numFmtId="49" fontId="3" fillId="5" borderId="4" xfId="0" applyNumberFormat="1" applyFont="1" applyFill="1" applyBorder="1" applyAlignment="1" applyProtection="1">
      <alignment horizontal="left" vertical="top" indent="1"/>
      <protection locked="0"/>
    </xf>
    <xf numFmtId="49" fontId="3" fillId="5" borderId="5" xfId="0" applyNumberFormat="1" applyFont="1" applyFill="1" applyBorder="1" applyAlignment="1" applyProtection="1">
      <alignment horizontal="left" vertical="top" indent="1"/>
      <protection locked="0"/>
    </xf>
  </cellXfs>
  <cellStyles count="4">
    <cellStyle name="20% - Accent2 45" xfId="3" xr:uid="{A86B1CFE-88F3-43C5-8BF9-485454FB0386}"/>
    <cellStyle name="Excel Built-in Normal" xfId="1" xr:uid="{00000000-0005-0000-0000-000000000000}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BE1E6"/>
        </patternFill>
      </fill>
    </dxf>
  </dxfs>
  <tableStyles count="0" defaultTableStyle="TableStyleMedium2" defaultPivotStyle="PivotStyleLight16"/>
  <colors>
    <mruColors>
      <color rgb="FFFBE1E6"/>
      <color rgb="FFDA2044"/>
      <color rgb="FFFFE5E5"/>
      <color rgb="FFEF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57151</xdr:rowOff>
    </xdr:from>
    <xdr:to>
      <xdr:col>1</xdr:col>
      <xdr:colOff>1240155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133350</xdr:rowOff>
        </xdr:from>
        <xdr:to>
          <xdr:col>3</xdr:col>
          <xdr:colOff>9525</xdr:colOff>
          <xdr:row>22</xdr:row>
          <xdr:rowOff>95250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NARUDŽBENICE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0</xdr:row>
          <xdr:rowOff>28575</xdr:rowOff>
        </xdr:from>
        <xdr:to>
          <xdr:col>4</xdr:col>
          <xdr:colOff>695325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NARUDŽBENICE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57150</xdr:rowOff>
    </xdr:from>
    <xdr:to>
      <xdr:col>1</xdr:col>
      <xdr:colOff>1238250</xdr:colOff>
      <xdr:row>1</xdr:row>
      <xdr:rowOff>151404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0"/>
          <a:ext cx="1238250" cy="284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F105"/>
  <sheetViews>
    <sheetView tabSelected="1" topLeftCell="B1" workbookViewId="0">
      <pane ySplit="5" topLeftCell="A6" activePane="bottomLeft" state="frozen"/>
      <selection pane="bottomLeft" activeCell="C7" sqref="C7"/>
    </sheetView>
  </sheetViews>
  <sheetFormatPr defaultColWidth="9.140625" defaultRowHeight="15" x14ac:dyDescent="0.25"/>
  <cols>
    <col min="1" max="1" width="3.7109375" style="4" customWidth="1"/>
    <col min="2" max="2" width="24.28515625" style="4" customWidth="1"/>
    <col min="3" max="3" width="68" style="8" customWidth="1"/>
    <col min="4" max="4" width="9.140625" style="6"/>
    <col min="5" max="5" width="28.28515625" style="7" customWidth="1"/>
    <col min="6" max="6" width="9.140625" style="8"/>
    <col min="7" max="16384" width="9.140625" style="4"/>
  </cols>
  <sheetData>
    <row r="2" spans="1:6" x14ac:dyDescent="0.25">
      <c r="C2" s="5" t="s">
        <v>0</v>
      </c>
    </row>
    <row r="3" spans="1:6" s="9" customFormat="1" x14ac:dyDescent="0.25">
      <c r="A3" s="9" t="s">
        <v>1</v>
      </c>
      <c r="C3" s="10"/>
      <c r="D3" s="11"/>
      <c r="E3" s="12"/>
      <c r="F3" s="10"/>
    </row>
    <row r="4" spans="1:6" x14ac:dyDescent="0.25">
      <c r="E4" s="13"/>
    </row>
    <row r="5" spans="1:6" x14ac:dyDescent="0.25">
      <c r="B5" s="4" t="s">
        <v>2</v>
      </c>
      <c r="C5" s="14" t="s">
        <v>137</v>
      </c>
      <c r="E5" s="15" t="s">
        <v>3</v>
      </c>
      <c r="F5" s="16" t="s">
        <v>4</v>
      </c>
    </row>
    <row r="6" spans="1:6" x14ac:dyDescent="0.25">
      <c r="D6" s="6">
        <v>1</v>
      </c>
      <c r="E6" s="3"/>
    </row>
    <row r="7" spans="1:6" x14ac:dyDescent="0.25">
      <c r="B7" s="4" t="s">
        <v>5</v>
      </c>
      <c r="C7" s="1" t="s">
        <v>6</v>
      </c>
      <c r="D7" s="6">
        <v>2</v>
      </c>
      <c r="E7" s="3"/>
    </row>
    <row r="8" spans="1:6" x14ac:dyDescent="0.25">
      <c r="D8" s="6">
        <v>3</v>
      </c>
      <c r="E8" s="3"/>
    </row>
    <row r="9" spans="1:6" x14ac:dyDescent="0.25">
      <c r="B9" s="4" t="s">
        <v>7</v>
      </c>
      <c r="C9" s="2">
        <v>45044</v>
      </c>
      <c r="D9" s="6">
        <v>4</v>
      </c>
      <c r="E9" s="3"/>
    </row>
    <row r="10" spans="1:6" x14ac:dyDescent="0.25">
      <c r="D10" s="6">
        <v>5</v>
      </c>
      <c r="E10" s="3"/>
    </row>
    <row r="11" spans="1:6" x14ac:dyDescent="0.25">
      <c r="B11" s="24" t="s">
        <v>8</v>
      </c>
      <c r="C11" s="51" t="s">
        <v>9</v>
      </c>
      <c r="D11" s="6">
        <v>6</v>
      </c>
      <c r="E11" s="3"/>
    </row>
    <row r="12" spans="1:6" x14ac:dyDescent="0.25">
      <c r="B12" s="24"/>
      <c r="C12" s="52"/>
      <c r="D12" s="6">
        <v>7</v>
      </c>
      <c r="E12" s="3"/>
    </row>
    <row r="13" spans="1:6" x14ac:dyDescent="0.25">
      <c r="B13" s="24"/>
      <c r="C13" s="52"/>
      <c r="D13" s="6">
        <v>8</v>
      </c>
      <c r="E13" s="3"/>
    </row>
    <row r="14" spans="1:6" x14ac:dyDescent="0.25">
      <c r="B14" s="24"/>
      <c r="C14" s="52"/>
      <c r="D14" s="6">
        <v>9</v>
      </c>
      <c r="E14" s="3"/>
    </row>
    <row r="15" spans="1:6" x14ac:dyDescent="0.25">
      <c r="B15" s="24"/>
      <c r="C15" s="53"/>
      <c r="D15" s="6">
        <v>10</v>
      </c>
      <c r="E15" s="3"/>
    </row>
    <row r="16" spans="1:6" x14ac:dyDescent="0.25">
      <c r="D16" s="6">
        <v>11</v>
      </c>
      <c r="E16" s="3"/>
    </row>
    <row r="17" spans="2:5" x14ac:dyDescent="0.25">
      <c r="B17" s="17" t="s">
        <v>10</v>
      </c>
      <c r="C17" s="16"/>
      <c r="D17" s="6">
        <v>12</v>
      </c>
      <c r="E17" s="3"/>
    </row>
    <row r="18" spans="2:5" x14ac:dyDescent="0.25">
      <c r="B18" s="18" t="s">
        <v>11</v>
      </c>
      <c r="C18" s="16"/>
      <c r="D18" s="6">
        <v>13</v>
      </c>
      <c r="E18" s="3"/>
    </row>
    <row r="19" spans="2:5" x14ac:dyDescent="0.25">
      <c r="D19" s="6">
        <v>14</v>
      </c>
      <c r="E19" s="3"/>
    </row>
    <row r="20" spans="2:5" x14ac:dyDescent="0.25">
      <c r="D20" s="6">
        <v>15</v>
      </c>
      <c r="E20" s="3"/>
    </row>
    <row r="21" spans="2:5" x14ac:dyDescent="0.25">
      <c r="D21" s="6">
        <v>16</v>
      </c>
      <c r="E21" s="3"/>
    </row>
    <row r="22" spans="2:5" x14ac:dyDescent="0.25">
      <c r="D22" s="6">
        <v>17</v>
      </c>
      <c r="E22" s="3"/>
    </row>
    <row r="23" spans="2:5" x14ac:dyDescent="0.25">
      <c r="D23" s="6">
        <v>18</v>
      </c>
      <c r="E23" s="3"/>
    </row>
    <row r="24" spans="2:5" x14ac:dyDescent="0.25">
      <c r="D24" s="6">
        <v>19</v>
      </c>
      <c r="E24" s="3"/>
    </row>
    <row r="25" spans="2:5" x14ac:dyDescent="0.25">
      <c r="D25" s="6">
        <v>20</v>
      </c>
      <c r="E25" s="3"/>
    </row>
    <row r="26" spans="2:5" x14ac:dyDescent="0.25">
      <c r="D26" s="6">
        <v>21</v>
      </c>
      <c r="E26" s="3"/>
    </row>
    <row r="27" spans="2:5" x14ac:dyDescent="0.25">
      <c r="D27" s="6">
        <v>22</v>
      </c>
      <c r="E27" s="3"/>
    </row>
    <row r="28" spans="2:5" x14ac:dyDescent="0.25">
      <c r="D28" s="6">
        <v>23</v>
      </c>
      <c r="E28" s="3"/>
    </row>
    <row r="29" spans="2:5" x14ac:dyDescent="0.25">
      <c r="D29" s="6">
        <v>24</v>
      </c>
      <c r="E29" s="3"/>
    </row>
    <row r="30" spans="2:5" x14ac:dyDescent="0.25">
      <c r="D30" s="6">
        <v>25</v>
      </c>
      <c r="E30" s="3"/>
    </row>
    <row r="31" spans="2:5" x14ac:dyDescent="0.25">
      <c r="D31" s="6">
        <v>26</v>
      </c>
      <c r="E31" s="3"/>
    </row>
    <row r="32" spans="2:5" x14ac:dyDescent="0.25">
      <c r="D32" s="6">
        <v>27</v>
      </c>
      <c r="E32" s="3"/>
    </row>
    <row r="33" spans="4:5" x14ac:dyDescent="0.25">
      <c r="D33" s="6">
        <v>28</v>
      </c>
      <c r="E33" s="3"/>
    </row>
    <row r="34" spans="4:5" x14ac:dyDescent="0.25">
      <c r="D34" s="6">
        <v>29</v>
      </c>
      <c r="E34" s="3"/>
    </row>
    <row r="35" spans="4:5" x14ac:dyDescent="0.25">
      <c r="D35" s="6">
        <v>30</v>
      </c>
      <c r="E35" s="3"/>
    </row>
    <row r="36" spans="4:5" x14ac:dyDescent="0.25">
      <c r="D36" s="6">
        <v>31</v>
      </c>
      <c r="E36" s="3"/>
    </row>
    <row r="37" spans="4:5" x14ac:dyDescent="0.25">
      <c r="D37" s="6">
        <v>32</v>
      </c>
      <c r="E37" s="3"/>
    </row>
    <row r="38" spans="4:5" x14ac:dyDescent="0.25">
      <c r="D38" s="6">
        <v>33</v>
      </c>
      <c r="E38" s="3"/>
    </row>
    <row r="39" spans="4:5" x14ac:dyDescent="0.25">
      <c r="D39" s="6">
        <v>34</v>
      </c>
      <c r="E39" s="3"/>
    </row>
    <row r="40" spans="4:5" x14ac:dyDescent="0.25">
      <c r="D40" s="6">
        <v>35</v>
      </c>
      <c r="E40" s="3"/>
    </row>
    <row r="41" spans="4:5" x14ac:dyDescent="0.25">
      <c r="D41" s="6">
        <v>36</v>
      </c>
      <c r="E41" s="3"/>
    </row>
    <row r="42" spans="4:5" x14ac:dyDescent="0.25">
      <c r="D42" s="6">
        <v>37</v>
      </c>
      <c r="E42" s="3"/>
    </row>
    <row r="43" spans="4:5" x14ac:dyDescent="0.25">
      <c r="D43" s="6">
        <v>38</v>
      </c>
      <c r="E43" s="3"/>
    </row>
    <row r="44" spans="4:5" x14ac:dyDescent="0.25">
      <c r="D44" s="6">
        <v>39</v>
      </c>
      <c r="E44" s="3"/>
    </row>
    <row r="45" spans="4:5" x14ac:dyDescent="0.25">
      <c r="D45" s="6">
        <v>40</v>
      </c>
      <c r="E45" s="3"/>
    </row>
    <row r="46" spans="4:5" x14ac:dyDescent="0.25">
      <c r="D46" s="6">
        <v>41</v>
      </c>
      <c r="E46" s="3"/>
    </row>
    <row r="47" spans="4:5" x14ac:dyDescent="0.25">
      <c r="D47" s="6">
        <v>42</v>
      </c>
      <c r="E47" s="3"/>
    </row>
    <row r="48" spans="4:5" x14ac:dyDescent="0.25">
      <c r="D48" s="6">
        <v>43</v>
      </c>
      <c r="E48" s="3"/>
    </row>
    <row r="49" spans="4:5" x14ac:dyDescent="0.25">
      <c r="D49" s="6">
        <v>44</v>
      </c>
      <c r="E49" s="3"/>
    </row>
    <row r="50" spans="4:5" x14ac:dyDescent="0.25">
      <c r="D50" s="6">
        <v>45</v>
      </c>
      <c r="E50" s="3"/>
    </row>
    <row r="51" spans="4:5" x14ac:dyDescent="0.25">
      <c r="D51" s="6">
        <v>46</v>
      </c>
      <c r="E51" s="3"/>
    </row>
    <row r="52" spans="4:5" x14ac:dyDescent="0.25">
      <c r="D52" s="6">
        <v>47</v>
      </c>
      <c r="E52" s="3"/>
    </row>
    <row r="53" spans="4:5" x14ac:dyDescent="0.25">
      <c r="D53" s="6">
        <v>48</v>
      </c>
      <c r="E53" s="3"/>
    </row>
    <row r="54" spans="4:5" x14ac:dyDescent="0.25">
      <c r="D54" s="6">
        <v>49</v>
      </c>
      <c r="E54" s="3"/>
    </row>
    <row r="55" spans="4:5" x14ac:dyDescent="0.25">
      <c r="D55" s="6">
        <v>50</v>
      </c>
      <c r="E55" s="3"/>
    </row>
    <row r="56" spans="4:5" x14ac:dyDescent="0.25">
      <c r="D56" s="6">
        <f>D55 +1</f>
        <v>51</v>
      </c>
      <c r="E56" s="3"/>
    </row>
    <row r="57" spans="4:5" x14ac:dyDescent="0.25">
      <c r="D57" s="6">
        <f t="shared" ref="D57:D103" si="0">D56 +1</f>
        <v>52</v>
      </c>
      <c r="E57" s="3"/>
    </row>
    <row r="58" spans="4:5" x14ac:dyDescent="0.25">
      <c r="D58" s="6">
        <f t="shared" si="0"/>
        <v>53</v>
      </c>
      <c r="E58" s="3"/>
    </row>
    <row r="59" spans="4:5" x14ac:dyDescent="0.25">
      <c r="D59" s="6">
        <f t="shared" si="0"/>
        <v>54</v>
      </c>
      <c r="E59" s="3"/>
    </row>
    <row r="60" spans="4:5" x14ac:dyDescent="0.25">
      <c r="D60" s="6">
        <f t="shared" si="0"/>
        <v>55</v>
      </c>
      <c r="E60" s="3"/>
    </row>
    <row r="61" spans="4:5" x14ac:dyDescent="0.25">
      <c r="D61" s="6">
        <f t="shared" si="0"/>
        <v>56</v>
      </c>
      <c r="E61" s="3"/>
    </row>
    <row r="62" spans="4:5" x14ac:dyDescent="0.25">
      <c r="D62" s="6">
        <f t="shared" si="0"/>
        <v>57</v>
      </c>
      <c r="E62" s="3"/>
    </row>
    <row r="63" spans="4:5" x14ac:dyDescent="0.25">
      <c r="D63" s="6">
        <f t="shared" si="0"/>
        <v>58</v>
      </c>
      <c r="E63" s="3"/>
    </row>
    <row r="64" spans="4:5" x14ac:dyDescent="0.25">
      <c r="D64" s="6">
        <f t="shared" si="0"/>
        <v>59</v>
      </c>
      <c r="E64" s="3"/>
    </row>
    <row r="65" spans="4:5" x14ac:dyDescent="0.25">
      <c r="D65" s="6">
        <f t="shared" si="0"/>
        <v>60</v>
      </c>
      <c r="E65" s="3"/>
    </row>
    <row r="66" spans="4:5" x14ac:dyDescent="0.25">
      <c r="D66" s="6">
        <f t="shared" si="0"/>
        <v>61</v>
      </c>
      <c r="E66" s="3"/>
    </row>
    <row r="67" spans="4:5" x14ac:dyDescent="0.25">
      <c r="D67" s="6">
        <f t="shared" si="0"/>
        <v>62</v>
      </c>
      <c r="E67" s="3"/>
    </row>
    <row r="68" spans="4:5" x14ac:dyDescent="0.25">
      <c r="D68" s="6">
        <f t="shared" si="0"/>
        <v>63</v>
      </c>
      <c r="E68" s="3"/>
    </row>
    <row r="69" spans="4:5" x14ac:dyDescent="0.25">
      <c r="D69" s="6">
        <f t="shared" si="0"/>
        <v>64</v>
      </c>
      <c r="E69" s="3"/>
    </row>
    <row r="70" spans="4:5" x14ac:dyDescent="0.25">
      <c r="D70" s="6">
        <f t="shared" si="0"/>
        <v>65</v>
      </c>
      <c r="E70" s="3"/>
    </row>
    <row r="71" spans="4:5" x14ac:dyDescent="0.25">
      <c r="D71" s="6">
        <f t="shared" si="0"/>
        <v>66</v>
      </c>
      <c r="E71" s="3"/>
    </row>
    <row r="72" spans="4:5" x14ac:dyDescent="0.25">
      <c r="D72" s="6">
        <f t="shared" si="0"/>
        <v>67</v>
      </c>
      <c r="E72" s="3"/>
    </row>
    <row r="73" spans="4:5" x14ac:dyDescent="0.25">
      <c r="D73" s="6">
        <f>D72 +1</f>
        <v>68</v>
      </c>
      <c r="E73" s="3"/>
    </row>
    <row r="74" spans="4:5" x14ac:dyDescent="0.25">
      <c r="D74" s="6">
        <f t="shared" si="0"/>
        <v>69</v>
      </c>
      <c r="E74" s="3"/>
    </row>
    <row r="75" spans="4:5" x14ac:dyDescent="0.25">
      <c r="D75" s="6">
        <f t="shared" si="0"/>
        <v>70</v>
      </c>
      <c r="E75" s="3"/>
    </row>
    <row r="76" spans="4:5" x14ac:dyDescent="0.25">
      <c r="D76" s="6">
        <f t="shared" si="0"/>
        <v>71</v>
      </c>
      <c r="E76" s="3"/>
    </row>
    <row r="77" spans="4:5" x14ac:dyDescent="0.25">
      <c r="D77" s="6">
        <f t="shared" si="0"/>
        <v>72</v>
      </c>
      <c r="E77" s="3"/>
    </row>
    <row r="78" spans="4:5" x14ac:dyDescent="0.25">
      <c r="D78" s="6">
        <f t="shared" si="0"/>
        <v>73</v>
      </c>
      <c r="E78" s="3"/>
    </row>
    <row r="79" spans="4:5" x14ac:dyDescent="0.25">
      <c r="D79" s="6">
        <f t="shared" si="0"/>
        <v>74</v>
      </c>
      <c r="E79" s="3"/>
    </row>
    <row r="80" spans="4:5" x14ac:dyDescent="0.25">
      <c r="D80" s="6">
        <f t="shared" si="0"/>
        <v>75</v>
      </c>
      <c r="E80" s="3"/>
    </row>
    <row r="81" spans="4:5" x14ac:dyDescent="0.25">
      <c r="D81" s="6">
        <f t="shared" si="0"/>
        <v>76</v>
      </c>
      <c r="E81" s="3"/>
    </row>
    <row r="82" spans="4:5" x14ac:dyDescent="0.25">
      <c r="D82" s="6">
        <f t="shared" si="0"/>
        <v>77</v>
      </c>
      <c r="E82" s="3"/>
    </row>
    <row r="83" spans="4:5" x14ac:dyDescent="0.25">
      <c r="D83" s="6">
        <f t="shared" si="0"/>
        <v>78</v>
      </c>
      <c r="E83" s="3"/>
    </row>
    <row r="84" spans="4:5" x14ac:dyDescent="0.25">
      <c r="D84" s="6">
        <f t="shared" si="0"/>
        <v>79</v>
      </c>
      <c r="E84" s="3"/>
    </row>
    <row r="85" spans="4:5" x14ac:dyDescent="0.25">
      <c r="D85" s="6">
        <f t="shared" si="0"/>
        <v>80</v>
      </c>
      <c r="E85" s="3"/>
    </row>
    <row r="86" spans="4:5" x14ac:dyDescent="0.25">
      <c r="D86" s="6">
        <f t="shared" si="0"/>
        <v>81</v>
      </c>
      <c r="E86" s="3"/>
    </row>
    <row r="87" spans="4:5" x14ac:dyDescent="0.25">
      <c r="D87" s="6">
        <f t="shared" si="0"/>
        <v>82</v>
      </c>
      <c r="E87" s="3"/>
    </row>
    <row r="88" spans="4:5" x14ac:dyDescent="0.25">
      <c r="D88" s="6">
        <f>D87 +1</f>
        <v>83</v>
      </c>
      <c r="E88" s="3"/>
    </row>
    <row r="89" spans="4:5" x14ac:dyDescent="0.25">
      <c r="D89" s="6">
        <f t="shared" si="0"/>
        <v>84</v>
      </c>
      <c r="E89" s="3"/>
    </row>
    <row r="90" spans="4:5" x14ac:dyDescent="0.25">
      <c r="D90" s="6">
        <f t="shared" si="0"/>
        <v>85</v>
      </c>
      <c r="E90" s="3"/>
    </row>
    <row r="91" spans="4:5" x14ac:dyDescent="0.25">
      <c r="D91" s="6">
        <f t="shared" si="0"/>
        <v>86</v>
      </c>
      <c r="E91" s="3"/>
    </row>
    <row r="92" spans="4:5" x14ac:dyDescent="0.25">
      <c r="D92" s="6">
        <f>D91 +1</f>
        <v>87</v>
      </c>
      <c r="E92" s="3"/>
    </row>
    <row r="93" spans="4:5" x14ac:dyDescent="0.25">
      <c r="D93" s="6">
        <f t="shared" si="0"/>
        <v>88</v>
      </c>
      <c r="E93" s="3"/>
    </row>
    <row r="94" spans="4:5" x14ac:dyDescent="0.25">
      <c r="D94" s="6">
        <f t="shared" si="0"/>
        <v>89</v>
      </c>
      <c r="E94" s="3"/>
    </row>
    <row r="95" spans="4:5" x14ac:dyDescent="0.25">
      <c r="D95" s="6">
        <f t="shared" si="0"/>
        <v>90</v>
      </c>
      <c r="E95" s="3"/>
    </row>
    <row r="96" spans="4:5" x14ac:dyDescent="0.25">
      <c r="D96" s="6">
        <f t="shared" si="0"/>
        <v>91</v>
      </c>
      <c r="E96" s="3"/>
    </row>
    <row r="97" spans="4:5" x14ac:dyDescent="0.25">
      <c r="D97" s="6">
        <f t="shared" si="0"/>
        <v>92</v>
      </c>
      <c r="E97" s="3"/>
    </row>
    <row r="98" spans="4:5" x14ac:dyDescent="0.25">
      <c r="D98" s="6">
        <f t="shared" si="0"/>
        <v>93</v>
      </c>
      <c r="E98" s="3"/>
    </row>
    <row r="99" spans="4:5" x14ac:dyDescent="0.25">
      <c r="D99" s="6">
        <f t="shared" si="0"/>
        <v>94</v>
      </c>
      <c r="E99" s="3"/>
    </row>
    <row r="100" spans="4:5" x14ac:dyDescent="0.25">
      <c r="D100" s="6">
        <f>D99 +1</f>
        <v>95</v>
      </c>
      <c r="E100" s="3"/>
    </row>
    <row r="101" spans="4:5" x14ac:dyDescent="0.25">
      <c r="D101" s="6">
        <f t="shared" si="0"/>
        <v>96</v>
      </c>
      <c r="E101" s="3"/>
    </row>
    <row r="102" spans="4:5" x14ac:dyDescent="0.25">
      <c r="D102" s="6">
        <f t="shared" si="0"/>
        <v>97</v>
      </c>
      <c r="E102" s="3"/>
    </row>
    <row r="103" spans="4:5" x14ac:dyDescent="0.25">
      <c r="D103" s="6">
        <f t="shared" si="0"/>
        <v>98</v>
      </c>
      <c r="E103" s="3"/>
    </row>
    <row r="104" spans="4:5" x14ac:dyDescent="0.25">
      <c r="D104" s="6">
        <f>D103 +1</f>
        <v>99</v>
      </c>
      <c r="E104" s="3"/>
    </row>
    <row r="105" spans="4:5" x14ac:dyDescent="0.25">
      <c r="D105" s="6">
        <f>D104 +1</f>
        <v>100</v>
      </c>
      <c r="E105" s="3"/>
    </row>
  </sheetData>
  <sheetProtection sheet="1" sort="0" autoFilter="0"/>
  <mergeCells count="1">
    <mergeCell ref="C11:C15"/>
  </mergeCells>
  <dataValidations count="1">
    <dataValidation type="date" operator="greaterThanOrEqual" allowBlank="1" showInputMessage="1" showErrorMessage="1" errorTitle="Greška" error="Planirani datum isporuke mora biti veći ili jednak današnjem datumu!" sqref="C9" xr:uid="{92484C6D-639C-49B2-8420-2B4D94E5EA60}">
      <formula1>TODAY()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Sheet1.loadOrders" altText="">
                <anchor moveWithCells="1" sizeWithCells="1">
                  <from>
                    <xdr:col>1</xdr:col>
                    <xdr:colOff>95250</xdr:colOff>
                    <xdr:row>19</xdr:row>
                    <xdr:rowOff>133350</xdr:rowOff>
                  </from>
                  <to>
                    <xdr:col>3</xdr:col>
                    <xdr:colOff>9525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00B050"/>
  </sheetPr>
  <dimension ref="A1:DK5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C25" sqref="C25"/>
    </sheetView>
  </sheetViews>
  <sheetFormatPr defaultColWidth="9.42578125" defaultRowHeight="15" x14ac:dyDescent="0.25"/>
  <cols>
    <col min="1" max="1" width="3.85546875" style="4" customWidth="1"/>
    <col min="2" max="2" width="21.28515625" style="19" customWidth="1"/>
    <col min="3" max="3" width="55.140625" style="4" customWidth="1"/>
    <col min="4" max="4" width="9.85546875" style="19" bestFit="1" customWidth="1"/>
    <col min="5" max="5" width="10.85546875" style="47" bestFit="1" customWidth="1"/>
    <col min="6" max="6" width="26.140625" style="24" bestFit="1" customWidth="1"/>
    <col min="7" max="7" width="26.140625" style="4" bestFit="1" customWidth="1"/>
    <col min="8" max="8" width="8.140625" style="4" bestFit="1" customWidth="1"/>
    <col min="9" max="9" width="10.5703125" style="4" bestFit="1" customWidth="1"/>
    <col min="10" max="10" width="11.28515625" style="19" bestFit="1" customWidth="1"/>
    <col min="11" max="11" width="11.85546875" style="4" bestFit="1" customWidth="1"/>
    <col min="12" max="12" width="11.140625" style="4" bestFit="1" customWidth="1"/>
    <col min="13" max="13" width="9.85546875" style="4" bestFit="1" customWidth="1"/>
    <col min="14" max="14" width="11.28515625" style="4" bestFit="1" customWidth="1"/>
    <col min="15" max="15" width="10.7109375" style="4" bestFit="1" customWidth="1"/>
    <col min="16" max="16" width="10.42578125" style="4" bestFit="1" customWidth="1"/>
    <col min="17" max="17" width="11.42578125" style="4" bestFit="1" customWidth="1"/>
    <col min="18" max="18" width="10.85546875" style="29" bestFit="1" customWidth="1"/>
    <col min="19" max="19" width="16.7109375" style="4" bestFit="1" customWidth="1"/>
    <col min="20" max="20" width="11.7109375" style="4" bestFit="1" customWidth="1"/>
    <col min="21" max="21" width="11.85546875" style="4" bestFit="1" customWidth="1"/>
    <col min="22" max="22" width="10.85546875" style="29" bestFit="1" customWidth="1"/>
    <col min="23" max="23" width="11.140625" style="29" bestFit="1" customWidth="1"/>
    <col min="24" max="24" width="11.85546875" style="44" bestFit="1" customWidth="1"/>
    <col min="25" max="25" width="12.140625" style="4" bestFit="1" customWidth="1"/>
    <col min="26" max="26" width="11.7109375" style="4" bestFit="1" customWidth="1"/>
    <col min="27" max="27" width="12.85546875" style="29" bestFit="1" customWidth="1"/>
    <col min="28" max="28" width="11.5703125" style="40" bestFit="1" customWidth="1"/>
    <col min="29" max="29" width="11.28515625" style="19" bestFit="1" customWidth="1"/>
    <col min="30" max="30" width="10.5703125" style="29" bestFit="1" customWidth="1"/>
    <col min="31" max="31" width="13.28515625" style="29" bestFit="1" customWidth="1"/>
    <col min="32" max="32" width="11.5703125" style="40" bestFit="1" customWidth="1"/>
    <col min="33" max="33" width="10.7109375" style="19" bestFit="1" customWidth="1"/>
    <col min="34" max="34" width="10.5703125" style="29" bestFit="1" customWidth="1"/>
    <col min="35" max="35" width="11" style="29" bestFit="1" customWidth="1"/>
    <col min="36" max="36" width="11.28515625" style="40" bestFit="1" customWidth="1"/>
    <col min="37" max="37" width="10.5703125" style="19" bestFit="1" customWidth="1"/>
    <col min="38" max="38" width="10.28515625" style="29" bestFit="1" customWidth="1"/>
    <col min="39" max="39" width="11.140625" style="29" bestFit="1" customWidth="1"/>
    <col min="40" max="40" width="12.5703125" style="40" bestFit="1" customWidth="1"/>
    <col min="41" max="41" width="11.85546875" style="19" bestFit="1" customWidth="1"/>
    <col min="42" max="42" width="10.28515625" style="19" bestFit="1" customWidth="1"/>
    <col min="43" max="43" width="9.42578125" style="19" bestFit="1" customWidth="1"/>
    <col min="44" max="44" width="10.85546875" style="19" bestFit="1" customWidth="1"/>
    <col min="45" max="45" width="11.5703125" style="29" bestFit="1" customWidth="1"/>
    <col min="46" max="46" width="10.5703125" style="29" bestFit="1" customWidth="1"/>
    <col min="47" max="47" width="10.85546875" style="29" bestFit="1" customWidth="1"/>
    <col min="48" max="48" width="11.140625" style="29" bestFit="1" customWidth="1"/>
    <col min="49" max="49" width="10.5703125" style="29" bestFit="1" customWidth="1"/>
    <col min="50" max="50" width="11.140625" style="29" bestFit="1" customWidth="1"/>
    <col min="51" max="51" width="10.42578125" style="29" bestFit="1" customWidth="1"/>
    <col min="52" max="52" width="10.28515625" style="29" bestFit="1" customWidth="1"/>
    <col min="53" max="53" width="10.85546875" style="29" bestFit="1" customWidth="1"/>
    <col min="54" max="55" width="11" style="29" bestFit="1" customWidth="1"/>
    <col min="56" max="56" width="10.85546875" style="29" bestFit="1" customWidth="1"/>
    <col min="57" max="57" width="11" style="29" bestFit="1" customWidth="1"/>
    <col min="58" max="58" width="11.140625" style="29" bestFit="1" customWidth="1"/>
    <col min="59" max="59" width="11.7109375" style="29" bestFit="1" customWidth="1"/>
    <col min="60" max="60" width="9.85546875" style="29" bestFit="1" customWidth="1"/>
    <col min="61" max="61" width="11.42578125" style="29" bestFit="1" customWidth="1"/>
    <col min="62" max="62" width="11" style="29" bestFit="1" customWidth="1"/>
    <col min="63" max="63" width="10.5703125" style="29" bestFit="1" customWidth="1"/>
    <col min="64" max="64" width="11.140625" style="29" bestFit="1" customWidth="1"/>
    <col min="65" max="65" width="10.5703125" style="29" bestFit="1" customWidth="1"/>
    <col min="66" max="66" width="11" style="29" bestFit="1" customWidth="1"/>
    <col min="67" max="67" width="26.42578125" style="29" bestFit="1" customWidth="1"/>
    <col min="68" max="68" width="10.85546875" style="29" bestFit="1" customWidth="1"/>
    <col min="69" max="69" width="11" style="29" bestFit="1" customWidth="1"/>
    <col min="70" max="70" width="53" style="4" customWidth="1"/>
    <col min="71" max="72" width="26.140625" style="25" bestFit="1" customWidth="1"/>
    <col min="73" max="73" width="14.5703125" style="4" customWidth="1"/>
    <col min="74" max="74" width="10.7109375" style="29" bestFit="1" customWidth="1"/>
    <col min="75" max="75" width="11" style="29" bestFit="1" customWidth="1"/>
    <col min="76" max="76" width="11.28515625" style="29" bestFit="1" customWidth="1"/>
    <col min="77" max="77" width="10.42578125" style="29" bestFit="1" customWidth="1"/>
    <col min="78" max="78" width="11.85546875" style="29" bestFit="1" customWidth="1"/>
    <col min="79" max="79" width="13.28515625" style="29" bestFit="1" customWidth="1"/>
    <col min="80" max="80" width="13.140625" style="29" bestFit="1" customWidth="1"/>
    <col min="81" max="81" width="13.7109375" style="29" bestFit="1" customWidth="1"/>
    <col min="82" max="82" width="10.140625" style="29" bestFit="1" customWidth="1"/>
    <col min="83" max="84" width="12.140625" style="29" bestFit="1" customWidth="1"/>
    <col min="85" max="85" width="9.140625" style="29" bestFit="1" customWidth="1"/>
    <col min="86" max="86" width="9.42578125" style="29" bestFit="1" customWidth="1"/>
    <col min="87" max="87" width="10.42578125" style="29" bestFit="1" customWidth="1"/>
    <col min="88" max="88" width="10.5703125" style="29" bestFit="1" customWidth="1"/>
    <col min="89" max="89" width="12.42578125" style="29" bestFit="1" customWidth="1"/>
    <col min="90" max="90" width="11.140625" style="29" bestFit="1" customWidth="1"/>
    <col min="91" max="91" width="9.85546875" style="29" bestFit="1" customWidth="1"/>
    <col min="92" max="92" width="11.28515625" style="29" bestFit="1" customWidth="1"/>
    <col min="93" max="93" width="11.85546875" style="29" bestFit="1" customWidth="1"/>
    <col min="94" max="94" width="11" style="29" bestFit="1" customWidth="1"/>
    <col min="95" max="96" width="10.85546875" style="29" bestFit="1" customWidth="1"/>
    <col min="97" max="97" width="11.5703125" style="29" bestFit="1" customWidth="1"/>
    <col min="98" max="98" width="11" style="29" bestFit="1" customWidth="1"/>
    <col min="99" max="99" width="10.140625" style="29" bestFit="1" customWidth="1"/>
    <col min="100" max="100" width="14.5703125" style="29" bestFit="1" customWidth="1"/>
    <col min="101" max="101" width="11.140625" style="29" bestFit="1" customWidth="1"/>
    <col min="102" max="102" width="12.28515625" style="29" bestFit="1" customWidth="1"/>
    <col min="103" max="103" width="11.42578125" style="29" bestFit="1" customWidth="1"/>
    <col min="104" max="104" width="11.5703125" style="29" bestFit="1" customWidth="1"/>
    <col min="105" max="105" width="13.140625" style="29" bestFit="1" customWidth="1"/>
    <col min="106" max="106" width="12.5703125" style="29" bestFit="1" customWidth="1"/>
    <col min="107" max="107" width="10.42578125" style="29" bestFit="1" customWidth="1"/>
    <col min="108" max="108" width="10.85546875" style="29" bestFit="1" customWidth="1"/>
    <col min="109" max="109" width="10.7109375" style="29" bestFit="1" customWidth="1"/>
    <col min="110" max="110" width="13.85546875" style="29" bestFit="1" customWidth="1"/>
    <col min="111" max="111" width="13.140625" style="29" bestFit="1" customWidth="1"/>
    <col min="112" max="112" width="13.85546875" style="29" bestFit="1" customWidth="1"/>
    <col min="113" max="113" width="10.5703125" style="29" bestFit="1" customWidth="1"/>
    <col min="114" max="114" width="13.42578125" style="29" bestFit="1" customWidth="1"/>
    <col min="115" max="115" width="13.28515625" style="29" bestFit="1" customWidth="1"/>
    <col min="116" max="16384" width="9.42578125" style="29"/>
  </cols>
  <sheetData>
    <row r="1" spans="1:115" x14ac:dyDescent="0.25">
      <c r="E1" s="4"/>
      <c r="V1" s="30"/>
      <c r="W1" s="30"/>
      <c r="X1" s="43"/>
      <c r="Y1" s="20"/>
      <c r="Z1" s="20"/>
      <c r="AA1" s="30"/>
      <c r="AB1" s="31"/>
      <c r="AC1" s="30"/>
      <c r="AD1" s="30"/>
      <c r="AE1" s="30"/>
      <c r="AF1" s="31"/>
      <c r="AG1" s="30"/>
      <c r="AH1" s="30"/>
      <c r="AI1" s="30"/>
      <c r="AJ1" s="31"/>
      <c r="AK1" s="30"/>
      <c r="AL1" s="30"/>
      <c r="AM1" s="30"/>
      <c r="AN1" s="31"/>
      <c r="AO1" s="30"/>
      <c r="AP1" s="30"/>
      <c r="AQ1" s="30"/>
      <c r="AR1" s="30"/>
      <c r="AS1" s="32"/>
    </row>
    <row r="2" spans="1:115" x14ac:dyDescent="0.25">
      <c r="C2" s="48" t="s">
        <v>0</v>
      </c>
      <c r="E2" s="4"/>
      <c r="G2" s="20"/>
      <c r="H2" s="20"/>
      <c r="V2" s="19"/>
      <c r="W2" s="19"/>
      <c r="AA2" s="19"/>
      <c r="AB2" s="33"/>
      <c r="AD2" s="19"/>
      <c r="AE2" s="19"/>
      <c r="AF2" s="33"/>
      <c r="AH2" s="19"/>
      <c r="AI2" s="19"/>
      <c r="AJ2" s="33"/>
      <c r="AL2" s="19"/>
      <c r="AM2" s="19"/>
      <c r="AN2" s="33"/>
      <c r="AS2" s="19"/>
    </row>
    <row r="3" spans="1:115" s="36" customFormat="1" x14ac:dyDescent="0.25">
      <c r="A3" s="21" t="s">
        <v>12</v>
      </c>
      <c r="B3" s="22"/>
      <c r="C3" s="21"/>
      <c r="D3" s="22"/>
      <c r="E3" s="34"/>
      <c r="F3" s="21"/>
      <c r="G3" s="21"/>
      <c r="H3" s="34"/>
      <c r="I3" s="34"/>
      <c r="J3" s="35"/>
      <c r="K3" s="34"/>
      <c r="L3" s="34"/>
      <c r="M3" s="34"/>
      <c r="N3" s="34"/>
      <c r="O3" s="34"/>
      <c r="P3" s="34"/>
      <c r="Q3" s="34"/>
      <c r="S3" s="34"/>
      <c r="T3" s="34"/>
      <c r="U3" s="41"/>
      <c r="V3" s="37"/>
      <c r="W3" s="37"/>
      <c r="X3" s="45"/>
      <c r="Y3" s="41"/>
      <c r="Z3" s="41"/>
      <c r="AA3" s="37"/>
      <c r="AB3" s="38"/>
      <c r="AC3" s="37"/>
      <c r="AD3" s="37"/>
      <c r="AE3" s="37"/>
      <c r="AF3" s="38"/>
      <c r="AG3" s="37"/>
      <c r="AH3" s="37"/>
      <c r="AI3" s="37"/>
      <c r="AJ3" s="38"/>
      <c r="AK3" s="37"/>
      <c r="AL3" s="37"/>
      <c r="AM3" s="37"/>
      <c r="AN3" s="38"/>
      <c r="AO3" s="37"/>
      <c r="AP3" s="37"/>
      <c r="AQ3" s="37"/>
      <c r="AR3" s="37"/>
      <c r="BR3" s="34"/>
      <c r="BS3" s="26"/>
      <c r="BT3" s="26"/>
      <c r="BU3" s="34"/>
    </row>
    <row r="4" spans="1:115" s="23" customFormat="1" x14ac:dyDescent="0.25">
      <c r="B4" s="27" t="s">
        <v>13</v>
      </c>
      <c r="C4" s="27" t="s">
        <v>14</v>
      </c>
      <c r="D4" s="27" t="s">
        <v>15</v>
      </c>
      <c r="E4" s="27" t="s">
        <v>16</v>
      </c>
      <c r="F4" s="49" t="s">
        <v>17</v>
      </c>
      <c r="G4" s="27" t="s">
        <v>18</v>
      </c>
      <c r="H4" s="27" t="s">
        <v>19</v>
      </c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27" t="s">
        <v>30</v>
      </c>
      <c r="T4" s="27" t="s">
        <v>31</v>
      </c>
      <c r="U4" s="42" t="s">
        <v>32</v>
      </c>
      <c r="V4" s="27" t="s">
        <v>33</v>
      </c>
      <c r="W4" s="27" t="s">
        <v>34</v>
      </c>
      <c r="X4" s="46" t="s">
        <v>35</v>
      </c>
      <c r="Y4" s="42" t="s">
        <v>36</v>
      </c>
      <c r="Z4" s="42" t="s">
        <v>37</v>
      </c>
      <c r="AA4" s="27" t="s">
        <v>38</v>
      </c>
      <c r="AB4" s="39" t="s">
        <v>39</v>
      </c>
      <c r="AC4" s="27" t="s">
        <v>40</v>
      </c>
      <c r="AD4" s="27" t="s">
        <v>41</v>
      </c>
      <c r="AE4" s="27" t="s">
        <v>42</v>
      </c>
      <c r="AF4" s="39" t="s">
        <v>43</v>
      </c>
      <c r="AG4" s="27" t="s">
        <v>44</v>
      </c>
      <c r="AH4" s="27" t="s">
        <v>45</v>
      </c>
      <c r="AI4" s="27" t="s">
        <v>46</v>
      </c>
      <c r="AJ4" s="39" t="s">
        <v>47</v>
      </c>
      <c r="AK4" s="27" t="s">
        <v>48</v>
      </c>
      <c r="AL4" s="27" t="s">
        <v>49</v>
      </c>
      <c r="AM4" s="27" t="s">
        <v>50</v>
      </c>
      <c r="AN4" s="39" t="s">
        <v>51</v>
      </c>
      <c r="AO4" s="27" t="s">
        <v>52</v>
      </c>
      <c r="AP4" s="27" t="s">
        <v>53</v>
      </c>
      <c r="AQ4" s="27" t="s">
        <v>54</v>
      </c>
      <c r="AR4" s="27" t="s">
        <v>55</v>
      </c>
      <c r="AS4" s="27" t="s">
        <v>56</v>
      </c>
      <c r="AT4" s="27" t="s">
        <v>57</v>
      </c>
      <c r="AU4" s="27" t="s">
        <v>58</v>
      </c>
      <c r="AV4" s="27" t="s">
        <v>59</v>
      </c>
      <c r="AW4" s="27" t="s">
        <v>60</v>
      </c>
      <c r="AX4" s="27" t="s">
        <v>61</v>
      </c>
      <c r="AY4" s="27" t="s">
        <v>62</v>
      </c>
      <c r="AZ4" s="27" t="s">
        <v>63</v>
      </c>
      <c r="BA4" s="27" t="s">
        <v>64</v>
      </c>
      <c r="BB4" s="27" t="s">
        <v>65</v>
      </c>
      <c r="BC4" s="27" t="s">
        <v>66</v>
      </c>
      <c r="BD4" s="27" t="s">
        <v>67</v>
      </c>
      <c r="BE4" s="27" t="s">
        <v>68</v>
      </c>
      <c r="BF4" s="27" t="s">
        <v>69</v>
      </c>
      <c r="BG4" s="27" t="s">
        <v>70</v>
      </c>
      <c r="BH4" s="27" t="s">
        <v>71</v>
      </c>
      <c r="BI4" s="27" t="s">
        <v>72</v>
      </c>
      <c r="BJ4" s="27" t="s">
        <v>73</v>
      </c>
      <c r="BK4" s="27" t="s">
        <v>74</v>
      </c>
      <c r="BL4" s="27" t="s">
        <v>75</v>
      </c>
      <c r="BM4" s="27" t="s">
        <v>76</v>
      </c>
      <c r="BN4" s="27" t="s">
        <v>77</v>
      </c>
      <c r="BO4" s="27" t="s">
        <v>78</v>
      </c>
      <c r="BP4" s="27" t="s">
        <v>79</v>
      </c>
      <c r="BQ4" s="27" t="s">
        <v>80</v>
      </c>
      <c r="BR4" s="42" t="s">
        <v>81</v>
      </c>
      <c r="BS4" s="28" t="s">
        <v>82</v>
      </c>
      <c r="BT4" s="28" t="s">
        <v>83</v>
      </c>
      <c r="BU4" s="42" t="s">
        <v>84</v>
      </c>
      <c r="BV4" s="27" t="s">
        <v>85</v>
      </c>
      <c r="BW4" s="27" t="s">
        <v>86</v>
      </c>
      <c r="BX4" s="27" t="s">
        <v>87</v>
      </c>
      <c r="BY4" s="27" t="s">
        <v>88</v>
      </c>
      <c r="BZ4" s="27" t="s">
        <v>89</v>
      </c>
      <c r="CA4" s="27" t="s">
        <v>90</v>
      </c>
      <c r="CB4" s="27" t="s">
        <v>91</v>
      </c>
      <c r="CC4" s="27" t="s">
        <v>92</v>
      </c>
      <c r="CD4" s="27" t="s">
        <v>93</v>
      </c>
      <c r="CE4" s="27" t="s">
        <v>94</v>
      </c>
      <c r="CF4" s="27" t="s">
        <v>95</v>
      </c>
      <c r="CG4" s="27" t="s">
        <v>96</v>
      </c>
      <c r="CH4" s="27" t="s">
        <v>97</v>
      </c>
      <c r="CI4" s="27" t="s">
        <v>98</v>
      </c>
      <c r="CJ4" s="27" t="s">
        <v>99</v>
      </c>
      <c r="CK4" s="27" t="s">
        <v>100</v>
      </c>
      <c r="CL4" s="27" t="s">
        <v>101</v>
      </c>
      <c r="CM4" s="27" t="s">
        <v>102</v>
      </c>
      <c r="CN4" s="27" t="s">
        <v>103</v>
      </c>
      <c r="CO4" s="27" t="s">
        <v>104</v>
      </c>
      <c r="CP4" s="27" t="s">
        <v>105</v>
      </c>
      <c r="CQ4" s="27" t="s">
        <v>106</v>
      </c>
      <c r="CR4" s="27" t="s">
        <v>107</v>
      </c>
      <c r="CS4" s="27" t="s">
        <v>108</v>
      </c>
      <c r="CT4" s="27" t="s">
        <v>109</v>
      </c>
      <c r="CU4" s="27" t="s">
        <v>110</v>
      </c>
      <c r="CV4" s="27" t="s">
        <v>111</v>
      </c>
      <c r="CW4" s="27" t="s">
        <v>112</v>
      </c>
      <c r="CX4" s="27" t="s">
        <v>113</v>
      </c>
      <c r="CY4" s="27" t="s">
        <v>114</v>
      </c>
      <c r="CZ4" s="27" t="s">
        <v>115</v>
      </c>
      <c r="DA4" s="27" t="s">
        <v>116</v>
      </c>
      <c r="DB4" s="27" t="s">
        <v>117</v>
      </c>
      <c r="DC4" s="27" t="s">
        <v>118</v>
      </c>
      <c r="DD4" s="27" t="s">
        <v>119</v>
      </c>
      <c r="DE4" s="27" t="s">
        <v>120</v>
      </c>
      <c r="DF4" s="27" t="s">
        <v>121</v>
      </c>
      <c r="DG4" s="27" t="s">
        <v>122</v>
      </c>
      <c r="DH4" s="27" t="s">
        <v>123</v>
      </c>
      <c r="DI4" s="27" t="s">
        <v>124</v>
      </c>
      <c r="DJ4" s="27" t="s">
        <v>125</v>
      </c>
      <c r="DK4" s="27" t="s">
        <v>126</v>
      </c>
    </row>
    <row r="5" spans="1:115" x14ac:dyDescent="0.25">
      <c r="B5" s="19" t="s">
        <v>127</v>
      </c>
      <c r="C5" s="4" t="s">
        <v>128</v>
      </c>
      <c r="D5" s="19">
        <v>10190</v>
      </c>
      <c r="E5" s="50"/>
      <c r="F5" s="24" t="s">
        <v>129</v>
      </c>
      <c r="G5" s="4" t="s">
        <v>130</v>
      </c>
      <c r="H5" s="4" t="s">
        <v>9</v>
      </c>
      <c r="J5" s="19" t="s">
        <v>131</v>
      </c>
      <c r="K5" s="4" t="s">
        <v>132</v>
      </c>
      <c r="L5" s="4">
        <v>1</v>
      </c>
      <c r="M5" s="4">
        <v>1</v>
      </c>
      <c r="N5" s="4">
        <v>0</v>
      </c>
      <c r="O5" s="4">
        <v>1</v>
      </c>
      <c r="Q5" s="4">
        <v>0</v>
      </c>
      <c r="U5" s="4">
        <v>0</v>
      </c>
      <c r="W5" s="29" t="s">
        <v>133</v>
      </c>
      <c r="X5" s="44" t="s">
        <v>9</v>
      </c>
      <c r="Y5" s="4">
        <v>41</v>
      </c>
      <c r="Z5" s="4">
        <v>1</v>
      </c>
      <c r="AD5" s="29">
        <v>0</v>
      </c>
      <c r="AG5" s="19">
        <v>1</v>
      </c>
      <c r="AI5" s="29">
        <v>0</v>
      </c>
      <c r="AK5" s="19">
        <v>5</v>
      </c>
      <c r="AL5" s="29" t="s">
        <v>131</v>
      </c>
      <c r="AP5" s="19">
        <v>0</v>
      </c>
      <c r="AX5" s="29">
        <v>0</v>
      </c>
      <c r="BM5" s="29">
        <v>0</v>
      </c>
      <c r="BO5" s="29" t="s">
        <v>134</v>
      </c>
      <c r="BS5" s="25" t="s">
        <v>135</v>
      </c>
      <c r="BT5" s="25" t="s">
        <v>135</v>
      </c>
      <c r="BU5" s="4" t="s">
        <v>136</v>
      </c>
      <c r="BY5" s="29">
        <v>0</v>
      </c>
      <c r="BZ5" s="29">
        <v>41</v>
      </c>
      <c r="CH5" s="29">
        <v>906</v>
      </c>
      <c r="CK5" s="29">
        <v>0</v>
      </c>
      <c r="CM5" s="29">
        <v>0</v>
      </c>
      <c r="DF5" s="29" t="s">
        <v>9</v>
      </c>
      <c r="DG5" s="29" t="s">
        <v>9</v>
      </c>
    </row>
  </sheetData>
  <sheetProtection sheet="1" sort="0" autoFilter="0"/>
  <autoFilter ref="B4:DK402" xr:uid="{DEE1CEE9-9E8C-4557-9180-A6D927D70DB0}"/>
  <conditionalFormatting sqref="E5:E1048576">
    <cfRule type="expression" dxfId="2" priority="4">
      <formula>AND(LEN($D5)&gt;0,LEN($E5)=0)</formula>
    </cfRule>
  </conditionalFormatting>
  <conditionalFormatting sqref="AD5:AD1048576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insertOrders">
                <anchor moveWithCells="1">
                  <from>
                    <xdr:col>2</xdr:col>
                    <xdr:colOff>2724150</xdr:colOff>
                    <xdr:row>0</xdr:row>
                    <xdr:rowOff>28575</xdr:rowOff>
                  </from>
                  <to>
                    <xdr:col>4</xdr:col>
                    <xdr:colOff>695325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customXml/itemProps3.xml><?xml version="1.0" encoding="utf-8"?>
<ds:datastoreItem xmlns:ds="http://schemas.openxmlformats.org/officeDocument/2006/customXml" ds:itemID="{6B07AEBD-462F-400E-B718-F6E54EDB1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 Priprema rastera &gt;</vt:lpstr>
      <vt:lpstr>02 Spremanje narudžbenica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2023-05-05T08:29:10Z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