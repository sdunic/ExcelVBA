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ommyhr.sharepoint.com/sites/Tommy-Poslovna-Inteligencija/Alati/Gold EUR/"/>
    </mc:Choice>
  </mc:AlternateContent>
  <xr:revisionPtr revIDLastSave="511" documentId="8_{5019F9A4-30A7-4C22-9026-2F888A64C436}" xr6:coauthVersionLast="47" xr6:coauthVersionMax="47" xr10:uidLastSave="{C7F3201A-0610-4A72-8DED-4EC228A3E9E1}"/>
  <bookViews>
    <workbookView xWindow="-120" yWindow="-120" windowWidth="29040" windowHeight="15720" tabRatio="494" activeTab="1" xr2:uid="{00000000-000D-0000-FFFF-FFFF00000000}"/>
  </bookViews>
  <sheets>
    <sheet name="01 UNOS FAKTURE &gt;" sheetId="3" r:id="rId1"/>
    <sheet name="02 OBJAŠNJAVANJE RAZLIKA" sheetId="9" r:id="rId2"/>
  </sheets>
  <functionGroups builtInGroupCount="19"/>
  <definedNames>
    <definedName name="_xlnm._FilterDatabase" localSheetId="1" hidden="1">'02 OBJAŠNJAVANJE RAZLIKA'!$B$6:$Y$14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21" i="9" l="1"/>
  <c r="X21" i="9"/>
  <c r="W21" i="9"/>
  <c r="V21" i="9"/>
  <c r="U21" i="9"/>
  <c r="T21" i="9"/>
  <c r="Y20" i="9"/>
  <c r="X20" i="9"/>
  <c r="W20" i="9"/>
  <c r="V20" i="9"/>
  <c r="U20" i="9"/>
  <c r="T20" i="9"/>
  <c r="Y19" i="9"/>
  <c r="X19" i="9"/>
  <c r="W19" i="9"/>
  <c r="V19" i="9"/>
  <c r="U19" i="9"/>
  <c r="T19" i="9"/>
  <c r="Y18" i="9"/>
  <c r="X18" i="9"/>
  <c r="W18" i="9"/>
  <c r="V18" i="9"/>
  <c r="U18" i="9"/>
  <c r="T18" i="9"/>
  <c r="Y17" i="9"/>
  <c r="X17" i="9"/>
  <c r="W17" i="9"/>
  <c r="V17" i="9"/>
  <c r="U17" i="9"/>
  <c r="T17" i="9"/>
  <c r="Y16" i="9"/>
  <c r="X16" i="9"/>
  <c r="W16" i="9"/>
  <c r="V16" i="9"/>
  <c r="U16" i="9"/>
  <c r="T16" i="9"/>
  <c r="Y15" i="9"/>
  <c r="X15" i="9"/>
  <c r="W15" i="9"/>
  <c r="V15" i="9"/>
  <c r="U15" i="9"/>
  <c r="T15" i="9"/>
  <c r="Y14" i="9"/>
  <c r="X14" i="9"/>
  <c r="W14" i="9"/>
  <c r="V14" i="9"/>
  <c r="U14" i="9"/>
  <c r="T14" i="9"/>
  <c r="Y13" i="9"/>
  <c r="X13" i="9"/>
  <c r="W13" i="9"/>
  <c r="V13" i="9"/>
  <c r="U13" i="9"/>
  <c r="T13" i="9"/>
  <c r="Y12" i="9"/>
  <c r="X12" i="9"/>
  <c r="W12" i="9"/>
  <c r="V12" i="9"/>
  <c r="U12" i="9"/>
  <c r="T12" i="9"/>
  <c r="Y11" i="9"/>
  <c r="X11" i="9"/>
  <c r="W11" i="9"/>
  <c r="V11" i="9"/>
  <c r="U11" i="9"/>
  <c r="T11" i="9"/>
  <c r="Y10" i="9"/>
  <c r="X10" i="9"/>
  <c r="W10" i="9"/>
  <c r="V10" i="9"/>
  <c r="U10" i="9"/>
  <c r="T10" i="9"/>
  <c r="Y9" i="9"/>
  <c r="X9" i="9"/>
  <c r="W9" i="9"/>
  <c r="V9" i="9"/>
  <c r="U9" i="9"/>
  <c r="T9" i="9"/>
  <c r="Y8" i="9"/>
  <c r="X8" i="9"/>
  <c r="W8" i="9"/>
  <c r="V8" i="9"/>
  <c r="U8" i="9"/>
  <c r="T8" i="9"/>
  <c r="Y7" i="9"/>
  <c r="X7" i="9"/>
  <c r="W7" i="9"/>
  <c r="V7" i="9"/>
  <c r="U7" i="9"/>
  <c r="T7" i="9"/>
  <c r="E20" i="3"/>
  <c r="E5" i="9" l="1"/>
  <c r="E15" i="3"/>
  <c r="O5" i="9" l="1"/>
  <c r="Q5" i="9"/>
  <c r="P5" i="9"/>
  <c r="R5" i="9" l="1"/>
  <c r="F4" i="9"/>
  <c r="F5" i="9"/>
  <c r="E17" i="3"/>
  <c r="E18" i="3"/>
  <c r="E16" i="3"/>
  <c r="E4" i="9" l="1"/>
  <c r="F15" i="3"/>
  <c r="F17" i="3"/>
  <c r="F18" i="3"/>
  <c r="F16" i="3"/>
  <c r="G5" i="9"/>
  <c r="G4" i="9" l="1"/>
</calcChain>
</file>

<file path=xl/sharedStrings.xml><?xml version="1.0" encoding="utf-8"?>
<sst xmlns="http://schemas.openxmlformats.org/spreadsheetml/2006/main" count="201" uniqueCount="107">
  <si>
    <t>Korisnik</t>
  </si>
  <si>
    <t>Dobavljač</t>
  </si>
  <si>
    <t>Datum fakture</t>
  </si>
  <si>
    <t>Broj fakture</t>
  </si>
  <si>
    <t>Datum valute</t>
  </si>
  <si>
    <t>Osnovica (25%)</t>
  </si>
  <si>
    <t>Osnovica (5%)</t>
  </si>
  <si>
    <t>Osnovica (13%)</t>
  </si>
  <si>
    <t>Total za platiti (sa PDV)</t>
  </si>
  <si>
    <t>01 UNOS FAKTURE &gt;</t>
  </si>
  <si>
    <t>v 1.00</t>
  </si>
  <si>
    <t>HRK UNOS</t>
  </si>
  <si>
    <t>EURO IZRAČUN</t>
  </si>
  <si>
    <t>Dokumenti prijema</t>
  </si>
  <si>
    <t>&gt;&gt;</t>
  </si>
  <si>
    <t>Trgovina</t>
  </si>
  <si>
    <t>% UDIO</t>
  </si>
  <si>
    <t>&lt;&lt;</t>
  </si>
  <si>
    <t>02 OBJAŠNJAVANJE RAZLIKA</t>
  </si>
  <si>
    <t>BROJ PRIJEMA</t>
  </si>
  <si>
    <t>KOD ARTIKLA</t>
  </si>
  <si>
    <t>CEXR</t>
  </si>
  <si>
    <t>PN</t>
  </si>
  <si>
    <t>LV</t>
  </si>
  <si>
    <t>OPIS LV</t>
  </si>
  <si>
    <t>NAZIV ARTIKLA</t>
  </si>
  <si>
    <t>NC FAKTURA HRK</t>
  </si>
  <si>
    <t>PDV GRUPA</t>
  </si>
  <si>
    <t>NAZIV PDV GRUPE</t>
  </si>
  <si>
    <t>PDV STOPA</t>
  </si>
  <si>
    <t>dokumente prijema odvojiti zarezom</t>
  </si>
  <si>
    <t>EAN</t>
  </si>
  <si>
    <t>NC PRIJEM EUR</t>
  </si>
  <si>
    <t>NC FAKTURA EUR</t>
  </si>
  <si>
    <t>OSTAJE ZA OBJASNITI KN</t>
  </si>
  <si>
    <t>OSTAJE ZA OBJASNITI EUR</t>
  </si>
  <si>
    <t>Osnovica (0%) (PN)</t>
  </si>
  <si>
    <t>KOL FAKTURA</t>
  </si>
  <si>
    <t>KOL PRIJEM</t>
  </si>
  <si>
    <t>ŠIFRA ZA NARUČIVANJE</t>
  </si>
  <si>
    <t>NC PRIJEM KN</t>
  </si>
  <si>
    <t>KOL RAZLIKA</t>
  </si>
  <si>
    <t>KN RAZLIKA</t>
  </si>
  <si>
    <t>EUR RAZLIKA</t>
  </si>
  <si>
    <t>RAZLIKA</t>
  </si>
  <si>
    <t>KOL x EUR</t>
  </si>
  <si>
    <t>KOL x KN</t>
  </si>
  <si>
    <t>TEH. TOLERANCA</t>
  </si>
  <si>
    <t>PREGLED POREZNIH OSNOVICA</t>
  </si>
  <si>
    <t>BROJ DOSTAVNICE</t>
  </si>
  <si>
    <t>KOMERCIJALNI UGOVOR</t>
  </si>
  <si>
    <t>FAKTURA ZAGLAVLJE BEZ PN</t>
  </si>
  <si>
    <t>FAKTURA STAVKE BEZ PN</t>
  </si>
  <si>
    <t>Brojevi dostavnica</t>
  </si>
  <si>
    <t>brojeve dostavnica razdvojiti sa zarezom</t>
  </si>
  <si>
    <t>dunic.stefan</t>
  </si>
  <si>
    <t>v 1.01</t>
  </si>
  <si>
    <t>100001750 - 8455 - MEGGLE HRVATSKA D.O.O.</t>
  </si>
  <si>
    <t>10335</t>
  </si>
  <si>
    <t>2205012</t>
  </si>
  <si>
    <t>KN_60</t>
  </si>
  <si>
    <t>PP10335-865</t>
  </si>
  <si>
    <t>10000219</t>
  </si>
  <si>
    <t>32748</t>
  </si>
  <si>
    <t>Komad</t>
  </si>
  <si>
    <t>MASLAC 82% 200 g PREMIUM</t>
  </si>
  <si>
    <t>PDV 25%</t>
  </si>
  <si>
    <t>10004210</t>
  </si>
  <si>
    <t>10004210001001</t>
  </si>
  <si>
    <t>KAJMAK 65%MM 200g</t>
  </si>
  <si>
    <t>10000626</t>
  </si>
  <si>
    <t>20292</t>
  </si>
  <si>
    <t>SIR MOZZARELLA 125 g MEGGLE</t>
  </si>
  <si>
    <t>10059524</t>
  </si>
  <si>
    <t>10059524001001</t>
  </si>
  <si>
    <t>KAVA LEDENA CAPPUCINO 250 ml</t>
  </si>
  <si>
    <t>10002352</t>
  </si>
  <si>
    <t>29950</t>
  </si>
  <si>
    <t>PAPRIKE CHERRY PUNJ. SIR 210 g</t>
  </si>
  <si>
    <t>10059523</t>
  </si>
  <si>
    <t>10059523001001</t>
  </si>
  <si>
    <t>KAVA LEDENA ESPR. MACC. 250 ml</t>
  </si>
  <si>
    <t>10059525</t>
  </si>
  <si>
    <t>10059525001001</t>
  </si>
  <si>
    <t>BAGUETTE BIJELI LUK 160 g</t>
  </si>
  <si>
    <t>10000638</t>
  </si>
  <si>
    <t>20381</t>
  </si>
  <si>
    <t>VRHNJE ZA KUH. 500 ml MEGGLE</t>
  </si>
  <si>
    <t>10005810</t>
  </si>
  <si>
    <t>10007</t>
  </si>
  <si>
    <t>VRHNJE ZA KAVU 10/1 MEGGLE</t>
  </si>
  <si>
    <t>10010192</t>
  </si>
  <si>
    <t>65800</t>
  </si>
  <si>
    <t>BAGUETTE RUSTIKAL 160 g MEGGLE</t>
  </si>
  <si>
    <t>10006398</t>
  </si>
  <si>
    <t>10703</t>
  </si>
  <si>
    <t>VRHNJE ZA ŠLAG CR.PATIS 200 ml</t>
  </si>
  <si>
    <t>10011005</t>
  </si>
  <si>
    <t>65799</t>
  </si>
  <si>
    <t>BAQUETTE LAUGEN 160 g MEGGLE</t>
  </si>
  <si>
    <t>10059526</t>
  </si>
  <si>
    <t>10059526001001</t>
  </si>
  <si>
    <t>BAGUETTE ZAČINSKO BILJE 160 g</t>
  </si>
  <si>
    <t>10008542</t>
  </si>
  <si>
    <t>40257</t>
  </si>
  <si>
    <t>JOGURT TEKUĆI 2,8%MM 330 g MEG</t>
  </si>
  <si>
    <t>PDV 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</si>
</sst>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d/mm/yyyy"/>
    <numFmt numFmtId="165" formatCode="#,##0.00\ [$HRK]"/>
    <numFmt numFmtId="166" formatCode="#,##0.00\ &quot;€&quot;"/>
    <numFmt numFmtId="167" formatCode="#,##0.00\ [$kn-41A]"/>
    <numFmt numFmtId="168" formatCode="#,##0.0000\ &quot;€&quot;"/>
    <numFmt numFmtId="169" formatCode="#,##0.0000\ [$kn-41A]"/>
    <numFmt numFmtId="170" formatCode="#,##0.000"/>
  </numFmts>
  <fonts count="16" x14ac:knownFonts="1">
    <font>
      <sz val="11"/>
      <color theme="1"/>
      <name val="Calibri"/>
      <family val="2"/>
      <scheme val="minor"/>
    </font>
    <font>
      <sz val="8"/>
      <name val="Arial"/>
      <family val="2"/>
      <charset val="238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charset val="238"/>
      <scheme val="minor"/>
    </font>
    <font>
      <b/>
      <sz val="11"/>
      <color theme="0" tint="-0.34998626667073579"/>
      <name val="Calibri"/>
      <family val="2"/>
      <charset val="238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charset val="238"/>
      <scheme val="minor"/>
    </font>
    <font>
      <b/>
      <u/>
      <sz val="12"/>
      <color theme="0"/>
      <name val="Calibri"/>
      <family val="2"/>
      <charset val="238"/>
      <scheme val="minor"/>
    </font>
    <font>
      <b/>
      <u/>
      <sz val="12"/>
      <color theme="1"/>
      <name val="Calibri"/>
      <family val="2"/>
      <charset val="238"/>
      <scheme val="minor"/>
    </font>
    <font>
      <b/>
      <u/>
      <sz val="12"/>
      <color theme="1"/>
      <name val="Calibri"/>
      <family val="2"/>
      <scheme val="minor"/>
    </font>
    <font>
      <b/>
      <u/>
      <sz val="11"/>
      <color theme="0"/>
      <name val="Calibri"/>
      <family val="2"/>
      <charset val="238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A204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</fills>
  <borders count="5">
    <border>
      <left/>
      <right/>
      <top/>
      <bottom/>
      <diagonal/>
    </border>
    <border>
      <left style="dotted">
        <color rgb="FFDA2044"/>
      </left>
      <right style="dotted">
        <color rgb="FFDA2044"/>
      </right>
      <top style="dotted">
        <color rgb="FFDA2044"/>
      </top>
      <bottom style="dotted">
        <color rgb="FFDA2044"/>
      </bottom>
      <diagonal/>
    </border>
    <border>
      <left style="dashed">
        <color theme="0" tint="-0.24994659260841701"/>
      </left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 style="dashed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</borders>
  <cellStyleXfs count="3">
    <xf numFmtId="0" fontId="0" fillId="0" borderId="0"/>
    <xf numFmtId="0" fontId="1" fillId="0" borderId="0"/>
    <xf numFmtId="9" fontId="5" fillId="0" borderId="0" applyFont="0" applyFill="0" applyBorder="0" applyAlignment="0" applyProtection="0"/>
  </cellStyleXfs>
  <cellXfs count="63">
    <xf numFmtId="0" fontId="0" fillId="0" borderId="0" xfId="0"/>
    <xf numFmtId="0" fontId="2" fillId="2" borderId="0" xfId="0" applyFont="1" applyFill="1"/>
    <xf numFmtId="0" fontId="2" fillId="2" borderId="0" xfId="0" applyFont="1" applyFill="1" applyAlignment="1">
      <alignment horizontal="left" indent="1"/>
    </xf>
    <xf numFmtId="0" fontId="3" fillId="2" borderId="0" xfId="0" applyFont="1" applyFill="1" applyAlignment="1">
      <alignment horizontal="left" indent="1"/>
    </xf>
    <xf numFmtId="0" fontId="4" fillId="2" borderId="0" xfId="0" applyFont="1" applyFill="1"/>
    <xf numFmtId="165" fontId="2" fillId="2" borderId="0" xfId="0" applyNumberFormat="1" applyFont="1" applyFill="1" applyAlignment="1">
      <alignment horizontal="left" indent="1"/>
    </xf>
    <xf numFmtId="0" fontId="6" fillId="5" borderId="1" xfId="0" applyFont="1" applyFill="1" applyBorder="1" applyAlignment="1">
      <alignment horizontal="left" indent="1"/>
    </xf>
    <xf numFmtId="0" fontId="2" fillId="2" borderId="0" xfId="0" applyFont="1" applyFill="1" applyAlignment="1">
      <alignment vertical="top"/>
    </xf>
    <xf numFmtId="0" fontId="7" fillId="2" borderId="0" xfId="0" applyFont="1" applyFill="1" applyAlignment="1">
      <alignment horizontal="center"/>
    </xf>
    <xf numFmtId="166" fontId="2" fillId="2" borderId="0" xfId="0" applyNumberFormat="1" applyFont="1" applyFill="1"/>
    <xf numFmtId="0" fontId="6" fillId="5" borderId="1" xfId="0" applyFont="1" applyFill="1" applyBorder="1" applyAlignment="1">
      <alignment horizontal="right" indent="1"/>
    </xf>
    <xf numFmtId="0" fontId="7" fillId="2" borderId="0" xfId="0" applyFont="1" applyFill="1" applyAlignment="1">
      <alignment horizontal="center" vertical="top"/>
    </xf>
    <xf numFmtId="0" fontId="3" fillId="2" borderId="0" xfId="0" applyFont="1" applyFill="1" applyAlignment="1">
      <alignment vertical="top"/>
    </xf>
    <xf numFmtId="0" fontId="2" fillId="5" borderId="0" xfId="0" applyFont="1" applyFill="1"/>
    <xf numFmtId="0" fontId="6" fillId="5" borderId="0" xfId="0" applyFont="1" applyFill="1"/>
    <xf numFmtId="167" fontId="2" fillId="2" borderId="0" xfId="0" applyNumberFormat="1" applyFont="1" applyFill="1"/>
    <xf numFmtId="167" fontId="6" fillId="5" borderId="0" xfId="0" applyNumberFormat="1" applyFont="1" applyFill="1"/>
    <xf numFmtId="4" fontId="2" fillId="2" borderId="0" xfId="0" applyNumberFormat="1" applyFont="1" applyFill="1"/>
    <xf numFmtId="4" fontId="6" fillId="5" borderId="0" xfId="0" applyNumberFormat="1" applyFont="1" applyFill="1"/>
    <xf numFmtId="168" fontId="2" fillId="2" borderId="0" xfId="0" applyNumberFormat="1" applyFont="1" applyFill="1"/>
    <xf numFmtId="168" fontId="6" fillId="5" borderId="0" xfId="0" applyNumberFormat="1" applyFont="1" applyFill="1"/>
    <xf numFmtId="0" fontId="2" fillId="2" borderId="2" xfId="0" applyFont="1" applyFill="1" applyBorder="1"/>
    <xf numFmtId="0" fontId="2" fillId="2" borderId="3" xfId="0" applyFont="1" applyFill="1" applyBorder="1" applyAlignment="1">
      <alignment horizontal="left" indent="1"/>
    </xf>
    <xf numFmtId="0" fontId="2" fillId="2" borderId="3" xfId="0" applyFont="1" applyFill="1" applyBorder="1"/>
    <xf numFmtId="168" fontId="2" fillId="2" borderId="3" xfId="0" applyNumberFormat="1" applyFont="1" applyFill="1" applyBorder="1"/>
    <xf numFmtId="167" fontId="2" fillId="2" borderId="3" xfId="0" applyNumberFormat="1" applyFont="1" applyFill="1" applyBorder="1"/>
    <xf numFmtId="168" fontId="2" fillId="2" borderId="4" xfId="0" applyNumberFormat="1" applyFont="1" applyFill="1" applyBorder="1"/>
    <xf numFmtId="169" fontId="2" fillId="2" borderId="0" xfId="0" applyNumberFormat="1" applyFont="1" applyFill="1"/>
    <xf numFmtId="169" fontId="6" fillId="5" borderId="0" xfId="0" applyNumberFormat="1" applyFont="1" applyFill="1"/>
    <xf numFmtId="167" fontId="2" fillId="4" borderId="3" xfId="0" applyNumberFormat="1" applyFont="1" applyFill="1" applyBorder="1" applyProtection="1">
      <protection locked="0"/>
    </xf>
    <xf numFmtId="0" fontId="8" fillId="5" borderId="0" xfId="0" applyFont="1" applyFill="1" applyAlignment="1">
      <alignment vertical="center"/>
    </xf>
    <xf numFmtId="0" fontId="9" fillId="5" borderId="0" xfId="0" applyFont="1" applyFill="1" applyAlignment="1">
      <alignment vertical="center"/>
    </xf>
    <xf numFmtId="166" fontId="9" fillId="5" borderId="0" xfId="0" applyNumberFormat="1" applyFont="1" applyFill="1" applyAlignment="1">
      <alignment vertical="center"/>
    </xf>
    <xf numFmtId="4" fontId="9" fillId="5" borderId="0" xfId="0" applyNumberFormat="1" applyFont="1" applyFill="1" applyAlignment="1">
      <alignment vertical="center"/>
    </xf>
    <xf numFmtId="168" fontId="9" fillId="5" borderId="0" xfId="0" applyNumberFormat="1" applyFont="1" applyFill="1" applyAlignment="1">
      <alignment vertical="center"/>
    </xf>
    <xf numFmtId="167" fontId="9" fillId="5" borderId="0" xfId="0" applyNumberFormat="1" applyFont="1" applyFill="1" applyAlignment="1">
      <alignment vertical="center"/>
    </xf>
    <xf numFmtId="169" fontId="9" fillId="5" borderId="0" xfId="0" applyNumberFormat="1" applyFont="1" applyFill="1" applyAlignment="1">
      <alignment vertical="center"/>
    </xf>
    <xf numFmtId="9" fontId="9" fillId="5" borderId="0" xfId="2" applyFont="1" applyFill="1" applyAlignment="1">
      <alignment horizontal="right" vertical="center"/>
    </xf>
    <xf numFmtId="49" fontId="10" fillId="6" borderId="0" xfId="0" applyNumberFormat="1" applyFont="1" applyFill="1" applyAlignment="1">
      <alignment vertical="center"/>
    </xf>
    <xf numFmtId="49" fontId="10" fillId="6" borderId="0" xfId="0" applyNumberFormat="1" applyFont="1" applyFill="1" applyAlignment="1">
      <alignment horizontal="left" vertical="center"/>
    </xf>
    <xf numFmtId="49" fontId="10" fillId="6" borderId="0" xfId="0" applyNumberFormat="1" applyFont="1" applyFill="1" applyAlignment="1">
      <alignment horizontal="center" vertical="center"/>
    </xf>
    <xf numFmtId="0" fontId="10" fillId="3" borderId="0" xfId="0" applyFont="1" applyFill="1" applyAlignment="1">
      <alignment vertical="center"/>
    </xf>
    <xf numFmtId="0" fontId="10" fillId="3" borderId="0" xfId="0" applyFont="1" applyFill="1" applyAlignment="1">
      <alignment horizontal="left" vertical="center"/>
    </xf>
    <xf numFmtId="49" fontId="11" fillId="6" borderId="0" xfId="0" applyNumberFormat="1" applyFont="1" applyFill="1" applyAlignment="1">
      <alignment vertical="center"/>
    </xf>
    <xf numFmtId="0" fontId="12" fillId="5" borderId="0" xfId="0" applyFont="1" applyFill="1" applyAlignment="1">
      <alignment horizontal="left" vertical="center" indent="1"/>
    </xf>
    <xf numFmtId="0" fontId="13" fillId="5" borderId="0" xfId="0" applyFont="1" applyFill="1" applyAlignment="1">
      <alignment horizontal="left" vertical="center" indent="1"/>
    </xf>
    <xf numFmtId="169" fontId="10" fillId="6" borderId="0" xfId="0" applyNumberFormat="1" applyFont="1" applyFill="1" applyAlignment="1">
      <alignment vertical="center"/>
    </xf>
    <xf numFmtId="168" fontId="10" fillId="6" borderId="0" xfId="0" applyNumberFormat="1" applyFont="1" applyFill="1" applyAlignment="1">
      <alignment vertical="center"/>
    </xf>
    <xf numFmtId="170" fontId="2" fillId="2" borderId="3" xfId="0" applyNumberFormat="1" applyFont="1" applyFill="1" applyBorder="1"/>
    <xf numFmtId="170" fontId="2" fillId="4" borderId="3" xfId="0" applyNumberFormat="1" applyFont="1" applyFill="1" applyBorder="1" applyProtection="1">
      <protection locked="0"/>
    </xf>
    <xf numFmtId="1" fontId="2" fillId="2" borderId="3" xfId="0" applyNumberFormat="1" applyFont="1" applyFill="1" applyBorder="1"/>
    <xf numFmtId="49" fontId="14" fillId="6" borderId="0" xfId="0" applyNumberFormat="1" applyFont="1" applyFill="1" applyAlignment="1">
      <alignment vertical="center"/>
    </xf>
    <xf numFmtId="49" fontId="14" fillId="6" borderId="0" xfId="0" applyNumberFormat="1" applyFont="1" applyFill="1" applyAlignment="1">
      <alignment horizontal="right" vertical="center"/>
    </xf>
    <xf numFmtId="49" fontId="2" fillId="4" borderId="1" xfId="0" applyNumberFormat="1" applyFont="1" applyFill="1" applyBorder="1" applyAlignment="1" applyProtection="1">
      <alignment horizontal="left" vertical="top" indent="1"/>
      <protection locked="0"/>
    </xf>
    <xf numFmtId="0" fontId="2" fillId="2" borderId="0" xfId="0" applyFont="1" applyFill="1" applyAlignment="1">
      <alignment vertical="center"/>
    </xf>
    <xf numFmtId="165" fontId="2" fillId="4" borderId="1" xfId="0" applyNumberFormat="1" applyFont="1" applyFill="1" applyBorder="1" applyAlignment="1" applyProtection="1">
      <alignment horizontal="right" vertical="center"/>
      <protection locked="0"/>
    </xf>
    <xf numFmtId="0" fontId="7" fillId="2" borderId="0" xfId="0" applyFont="1" applyFill="1" applyAlignment="1">
      <alignment horizontal="center" vertical="center"/>
    </xf>
    <xf numFmtId="166" fontId="2" fillId="4" borderId="1" xfId="0" applyNumberFormat="1" applyFont="1" applyFill="1" applyBorder="1" applyAlignment="1" applyProtection="1">
      <alignment horizontal="right" vertical="center"/>
      <protection locked="0"/>
    </xf>
    <xf numFmtId="10" fontId="2" fillId="4" borderId="1" xfId="2" applyNumberFormat="1" applyFont="1" applyFill="1" applyBorder="1" applyAlignment="1" applyProtection="1">
      <alignment horizontal="right" vertical="center"/>
      <protection locked="0"/>
    </xf>
    <xf numFmtId="165" fontId="2" fillId="2" borderId="0" xfId="0" applyNumberFormat="1" applyFont="1" applyFill="1" applyAlignment="1">
      <alignment vertical="center"/>
    </xf>
    <xf numFmtId="49" fontId="2" fillId="4" borderId="1" xfId="0" applyNumberFormat="1" applyFont="1" applyFill="1" applyBorder="1" applyAlignment="1" applyProtection="1">
      <alignment horizontal="left" vertical="center"/>
      <protection locked="0"/>
    </xf>
    <xf numFmtId="164" fontId="2" fillId="4" borderId="1" xfId="0" applyNumberFormat="1" applyFont="1" applyFill="1" applyBorder="1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</cellXfs>
  <cellStyles count="3">
    <cellStyle name="Excel Built-in Normal" xfId="1" xr:uid="{00000000-0005-0000-0000-000000000000}"/>
    <cellStyle name="Normal" xfId="0" builtinId="0"/>
    <cellStyle name="Percent" xfId="2" builtinId="5"/>
  </cellStyles>
  <dxfs count="2">
    <dxf>
      <fill>
        <patternFill>
          <bgColor rgb="FFFFB7B7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B7B7"/>
      <color rgb="FFF1F7ED"/>
      <color rgb="FFFFFAF5"/>
      <color rgb="FFDA20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57151</xdr:rowOff>
    </xdr:from>
    <xdr:to>
      <xdr:col>1</xdr:col>
      <xdr:colOff>1238250</xdr:colOff>
      <xdr:row>1</xdr:row>
      <xdr:rowOff>151405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529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6</xdr:row>
          <xdr:rowOff>180975</xdr:rowOff>
        </xdr:from>
        <xdr:to>
          <xdr:col>6</xdr:col>
          <xdr:colOff>57150</xdr:colOff>
          <xdr:row>8</xdr:row>
          <xdr:rowOff>9525</xdr:rowOff>
        </xdr:to>
        <xdr:sp macro="" textlink="">
          <xdr:nvSpPr>
            <xdr:cNvPr id="1031" name="btnSearch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ODABIR DOBAVLJAČA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25</xdr:row>
          <xdr:rowOff>180975</xdr:rowOff>
        </xdr:from>
        <xdr:to>
          <xdr:col>3</xdr:col>
          <xdr:colOff>38100</xdr:colOff>
          <xdr:row>28</xdr:row>
          <xdr:rowOff>28575</xdr:rowOff>
        </xdr:to>
        <xdr:sp macro="" textlink="">
          <xdr:nvSpPr>
            <xdr:cNvPr id="1032" name="btnSearch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DOHVATI PRIJEME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57151</xdr:rowOff>
    </xdr:from>
    <xdr:to>
      <xdr:col>1</xdr:col>
      <xdr:colOff>1238250</xdr:colOff>
      <xdr:row>1</xdr:row>
      <xdr:rowOff>151405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57151"/>
          <a:ext cx="1238250" cy="28475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9874-8315-44BD-8A83-AAA3429F277B}">
  <sheetPr codeName="Sheet1">
    <tabColor rgb="FFC00000"/>
  </sheetPr>
  <dimension ref="A2:I24"/>
  <sheetViews>
    <sheetView topLeftCell="A3" zoomScaleNormal="100" workbookViewId="0">
      <selection activeCell="K23" sqref="K23"/>
    </sheetView>
  </sheetViews>
  <sheetFormatPr defaultColWidth="9.140625" defaultRowHeight="15" x14ac:dyDescent="0.25"/>
  <cols>
    <col min="1" max="1" width="3.7109375" style="1" customWidth="1"/>
    <col min="2" max="2" width="29.85546875" style="1" bestFit="1" customWidth="1"/>
    <col min="3" max="3" width="55" style="2" bestFit="1" customWidth="1"/>
    <col min="4" max="4" width="4.5703125" style="1" customWidth="1"/>
    <col min="5" max="5" width="15.85546875" style="1" bestFit="1" customWidth="1"/>
    <col min="6" max="6" width="11.42578125" style="1" bestFit="1" customWidth="1"/>
    <col min="7" max="8" width="9.140625" style="1"/>
    <col min="9" max="9" width="10.5703125" style="1" bestFit="1" customWidth="1"/>
    <col min="10" max="16384" width="9.140625" style="1"/>
  </cols>
  <sheetData>
    <row r="2" spans="1:9" x14ac:dyDescent="0.25">
      <c r="C2" s="4" t="s">
        <v>56</v>
      </c>
    </row>
    <row r="3" spans="1:9" s="41" customFormat="1" ht="24.95" customHeight="1" x14ac:dyDescent="0.25">
      <c r="A3" s="41" t="s">
        <v>9</v>
      </c>
      <c r="C3" s="42"/>
    </row>
    <row r="5" spans="1:9" x14ac:dyDescent="0.25">
      <c r="B5" s="1" t="s">
        <v>0</v>
      </c>
      <c r="C5" s="6" t="s">
        <v>55</v>
      </c>
    </row>
    <row r="7" spans="1:9" s="54" customFormat="1" ht="20.100000000000001" customHeight="1" x14ac:dyDescent="0.25">
      <c r="B7" s="54" t="s">
        <v>15</v>
      </c>
      <c r="C7" s="60" t="s">
        <v>58</v>
      </c>
    </row>
    <row r="8" spans="1:9" s="54" customFormat="1" ht="20.100000000000001" customHeight="1" x14ac:dyDescent="0.25">
      <c r="B8" s="54" t="s">
        <v>1</v>
      </c>
      <c r="C8" s="60" t="s">
        <v>57</v>
      </c>
      <c r="D8" s="62"/>
    </row>
    <row r="9" spans="1:9" x14ac:dyDescent="0.25">
      <c r="C9" s="1"/>
      <c r="D9" s="3"/>
    </row>
    <row r="10" spans="1:9" s="54" customFormat="1" ht="20.100000000000001" customHeight="1" x14ac:dyDescent="0.25">
      <c r="B10" s="54" t="s">
        <v>3</v>
      </c>
      <c r="C10" s="60"/>
    </row>
    <row r="11" spans="1:9" s="54" customFormat="1" ht="20.100000000000001" customHeight="1" x14ac:dyDescent="0.25">
      <c r="B11" s="54" t="s">
        <v>2</v>
      </c>
      <c r="C11" s="61"/>
      <c r="D11" s="62"/>
    </row>
    <row r="12" spans="1:9" s="54" customFormat="1" ht="20.100000000000001" customHeight="1" x14ac:dyDescent="0.25">
      <c r="B12" s="54" t="s">
        <v>4</v>
      </c>
      <c r="C12" s="61"/>
    </row>
    <row r="13" spans="1:9" x14ac:dyDescent="0.25">
      <c r="C13" s="1"/>
    </row>
    <row r="14" spans="1:9" x14ac:dyDescent="0.25">
      <c r="C14" s="6" t="s">
        <v>11</v>
      </c>
      <c r="D14" s="3"/>
      <c r="E14" s="6" t="s">
        <v>12</v>
      </c>
      <c r="F14" s="10" t="s">
        <v>16</v>
      </c>
    </row>
    <row r="15" spans="1:9" s="54" customFormat="1" ht="20.100000000000001" customHeight="1" x14ac:dyDescent="0.25">
      <c r="B15" s="54" t="s">
        <v>5</v>
      </c>
      <c r="C15" s="55"/>
      <c r="D15" s="56" t="s">
        <v>14</v>
      </c>
      <c r="E15" s="57">
        <f>ROUND(C15/7.5345,2)</f>
        <v>0</v>
      </c>
      <c r="F15" s="58" t="e">
        <f>E15/SUM($E$15:$E$18)</f>
        <v>#DIV/0!</v>
      </c>
      <c r="I15" s="59"/>
    </row>
    <row r="16" spans="1:9" s="54" customFormat="1" ht="20.100000000000001" customHeight="1" x14ac:dyDescent="0.25">
      <c r="B16" s="54" t="s">
        <v>7</v>
      </c>
      <c r="C16" s="55"/>
      <c r="D16" s="56" t="s">
        <v>14</v>
      </c>
      <c r="E16" s="57">
        <f t="shared" ref="E16" si="0">ROUND(C16/7.5345,2)</f>
        <v>0</v>
      </c>
      <c r="F16" s="58" t="e">
        <f t="shared" ref="F16:F18" si="1">E16/SUM($E$15:$E$18)</f>
        <v>#DIV/0!</v>
      </c>
    </row>
    <row r="17" spans="2:6" s="54" customFormat="1" ht="20.100000000000001" customHeight="1" x14ac:dyDescent="0.25">
      <c r="B17" s="54" t="s">
        <v>6</v>
      </c>
      <c r="C17" s="55"/>
      <c r="D17" s="56" t="s">
        <v>14</v>
      </c>
      <c r="E17" s="57">
        <f>ROUND(C17/7.5345,2)</f>
        <v>0</v>
      </c>
      <c r="F17" s="58" t="e">
        <f t="shared" si="1"/>
        <v>#DIV/0!</v>
      </c>
    </row>
    <row r="18" spans="2:6" s="54" customFormat="1" ht="20.100000000000001" customHeight="1" x14ac:dyDescent="0.25">
      <c r="B18" s="54" t="s">
        <v>36</v>
      </c>
      <c r="C18" s="55"/>
      <c r="D18" s="56" t="s">
        <v>14</v>
      </c>
      <c r="E18" s="57">
        <f>ROUND(C18/7.5345,2)</f>
        <v>0</v>
      </c>
      <c r="F18" s="58" t="e">
        <f t="shared" si="1"/>
        <v>#DIV/0!</v>
      </c>
    </row>
    <row r="19" spans="2:6" x14ac:dyDescent="0.25">
      <c r="C19" s="5"/>
      <c r="D19" s="8"/>
      <c r="E19" s="9"/>
      <c r="F19" s="9"/>
    </row>
    <row r="20" spans="2:6" s="54" customFormat="1" ht="20.100000000000001" customHeight="1" x14ac:dyDescent="0.25">
      <c r="B20" s="54" t="s">
        <v>8</v>
      </c>
      <c r="C20" s="55"/>
      <c r="D20" s="56" t="s">
        <v>14</v>
      </c>
      <c r="E20" s="57">
        <f>ROUND(C20/7.5345,2)</f>
        <v>0</v>
      </c>
    </row>
    <row r="21" spans="2:6" x14ac:dyDescent="0.25">
      <c r="D21" s="8"/>
    </row>
    <row r="22" spans="2:6" ht="50.1" customHeight="1" x14ac:dyDescent="0.25">
      <c r="B22" s="7" t="s">
        <v>13</v>
      </c>
      <c r="C22" s="53"/>
      <c r="D22" s="11" t="s">
        <v>17</v>
      </c>
      <c r="E22" s="12" t="s">
        <v>30</v>
      </c>
    </row>
    <row r="24" spans="2:6" ht="50.1" customHeight="1" x14ac:dyDescent="0.25">
      <c r="B24" s="7" t="s">
        <v>53</v>
      </c>
      <c r="C24" s="53" t="s">
        <v>59</v>
      </c>
      <c r="D24" s="11" t="s">
        <v>17</v>
      </c>
      <c r="E24" s="12" t="s">
        <v>54</v>
      </c>
    </row>
  </sheetData>
  <sheetProtection sheet="1" objects="1" scenarios="1"/>
  <dataValidations count="1">
    <dataValidation type="date" allowBlank="1" showInputMessage="1" showErrorMessage="1" sqref="C11:C13" xr:uid="{88E9D7CF-AAAD-4DB2-8C1A-33E19149235A}">
      <formula1>44562</formula1>
      <formula2>54788</formula2>
    </dataValidation>
  </dataValidations>
  <pageMargins left="0.7" right="0.7" top="0.75" bottom="0.75" header="0.3" footer="0.3"/>
  <pageSetup paperSize="9" orientation="portrait" r:id="rId1"/>
  <ignoredErrors>
    <ignoredError sqref="E16:E19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tnSearch">
              <controlPr defaultSize="0" print="0" autoFill="0" autoPict="0" macro="[0]!loadSearch">
                <anchor moveWithCells="1" sizeWithCells="1">
                  <from>
                    <xdr:col>4</xdr:col>
                    <xdr:colOff>19050</xdr:colOff>
                    <xdr:row>6</xdr:row>
                    <xdr:rowOff>180975</xdr:rowOff>
                  </from>
                  <to>
                    <xdr:col>6</xdr:col>
                    <xdr:colOff>57150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loadReceptions">
                <anchor moveWithCells="1" sizeWithCells="1">
                  <from>
                    <xdr:col>1</xdr:col>
                    <xdr:colOff>171450</xdr:colOff>
                    <xdr:row>25</xdr:row>
                    <xdr:rowOff>180975</xdr:rowOff>
                  </from>
                  <to>
                    <xdr:col>3</xdr:col>
                    <xdr:colOff>38100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87B1D-307B-4C55-8A18-DD33EA7CD895}">
  <sheetPr codeName="Sheet3">
    <tabColor rgb="FFFFC000"/>
  </sheetPr>
  <dimension ref="A1:Z21"/>
  <sheetViews>
    <sheetView tabSelected="1" topLeftCell="D1" zoomScale="87" zoomScaleNormal="87" workbookViewId="0">
      <pane ySplit="6" topLeftCell="A7" activePane="bottomLeft" state="frozen"/>
      <selection pane="bottomLeft" activeCell="B5" sqref="B5"/>
    </sheetView>
  </sheetViews>
  <sheetFormatPr defaultColWidth="9.140625" defaultRowHeight="15" x14ac:dyDescent="0.25"/>
  <cols>
    <col min="1" max="1" width="3.7109375" style="1" customWidth="1"/>
    <col min="2" max="2" width="22.28515625" style="21" customWidth="1"/>
    <col min="3" max="3" width="20" style="22" bestFit="1" customWidth="1"/>
    <col min="4" max="4" width="15.7109375" style="23" bestFit="1" customWidth="1"/>
    <col min="5" max="5" width="19.7109375" style="23" bestFit="1" customWidth="1"/>
    <col min="6" max="6" width="24.5703125" style="23" bestFit="1" customWidth="1"/>
    <col min="7" max="7" width="14.42578125" style="23" bestFit="1" customWidth="1"/>
    <col min="8" max="8" width="6.140625" style="23" bestFit="1" customWidth="1"/>
    <col min="9" max="9" width="8.7109375" style="23" customWidth="1"/>
    <col min="10" max="10" width="10.28515625" style="23" bestFit="1" customWidth="1"/>
    <col min="11" max="11" width="32.28515625" style="23" bestFit="1" customWidth="1"/>
    <col min="12" max="12" width="13.85546875" style="23" bestFit="1" customWidth="1"/>
    <col min="13" max="13" width="19.85546875" style="23" bestFit="1" customWidth="1"/>
    <col min="14" max="14" width="13.42578125" style="50" bestFit="1" customWidth="1"/>
    <col min="15" max="15" width="15.42578125" style="48" customWidth="1"/>
    <col min="16" max="16" width="15.7109375" style="49" bestFit="1" customWidth="1"/>
    <col min="17" max="17" width="17" style="24" bestFit="1" customWidth="1"/>
    <col min="18" max="18" width="15.85546875" style="25" bestFit="1" customWidth="1"/>
    <col min="19" max="19" width="19.140625" style="29" bestFit="1" customWidth="1"/>
    <col min="20" max="20" width="19" style="24" bestFit="1" customWidth="1"/>
    <col min="21" max="21" width="15" style="48" bestFit="1" customWidth="1"/>
    <col min="22" max="22" width="15.140625" style="25" bestFit="1" customWidth="1"/>
    <col min="23" max="23" width="15.85546875" style="24" bestFit="1" customWidth="1"/>
    <col min="24" max="24" width="15.5703125" style="25" bestFit="1" customWidth="1"/>
    <col min="25" max="25" width="16.7109375" style="26" bestFit="1" customWidth="1"/>
    <col min="26" max="16384" width="9.140625" style="1"/>
  </cols>
  <sheetData>
    <row r="1" spans="1:26" x14ac:dyDescent="0.25">
      <c r="B1" s="1"/>
      <c r="C1" s="2"/>
      <c r="D1" s="1"/>
      <c r="E1" s="1"/>
      <c r="F1" s="1"/>
      <c r="G1" s="1"/>
      <c r="H1" s="1"/>
      <c r="I1" s="1"/>
      <c r="J1" s="1"/>
      <c r="K1" s="1"/>
      <c r="L1" s="1"/>
      <c r="M1" s="1"/>
      <c r="N1" s="17"/>
      <c r="O1" s="17"/>
      <c r="P1" s="19"/>
      <c r="Q1" s="15"/>
      <c r="R1" s="15"/>
      <c r="S1" s="19"/>
      <c r="T1" s="17"/>
      <c r="U1" s="27"/>
      <c r="V1" s="19"/>
      <c r="W1" s="27"/>
      <c r="X1" s="27"/>
      <c r="Y1" s="19"/>
    </row>
    <row r="2" spans="1:26" x14ac:dyDescent="0.25">
      <c r="B2" s="1"/>
      <c r="C2" s="4" t="s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7"/>
      <c r="O2" s="17"/>
      <c r="P2" s="19"/>
      <c r="Q2" s="15"/>
      <c r="R2" s="15"/>
      <c r="S2" s="19"/>
      <c r="T2" s="17"/>
      <c r="U2" s="27"/>
      <c r="V2" s="19"/>
      <c r="W2" s="27"/>
      <c r="X2" s="27"/>
      <c r="Y2" s="19"/>
    </row>
    <row r="3" spans="1:26" s="38" customFormat="1" ht="27.6" customHeight="1" x14ac:dyDescent="0.25">
      <c r="A3" s="38" t="s">
        <v>18</v>
      </c>
      <c r="C3" s="39"/>
      <c r="E3" s="52" t="s">
        <v>51</v>
      </c>
      <c r="F3" s="52" t="s">
        <v>52</v>
      </c>
      <c r="G3" s="52" t="s">
        <v>44</v>
      </c>
      <c r="H3" s="43"/>
      <c r="I3" s="51" t="s">
        <v>47</v>
      </c>
      <c r="K3" s="52" t="s">
        <v>50</v>
      </c>
      <c r="L3" s="40">
        <v>700</v>
      </c>
      <c r="M3" s="38" t="s">
        <v>60</v>
      </c>
      <c r="N3" s="38">
        <v>1</v>
      </c>
      <c r="O3" s="51" t="s">
        <v>48</v>
      </c>
      <c r="X3" s="46"/>
      <c r="Y3" s="47"/>
    </row>
    <row r="4" spans="1:26" s="30" customFormat="1" ht="24.75" customHeight="1" x14ac:dyDescent="0.25">
      <c r="B4" s="44" t="s">
        <v>35</v>
      </c>
      <c r="C4" s="31"/>
      <c r="D4" s="31"/>
      <c r="E4" s="32">
        <f>SUM('01 UNOS FAKTURE &gt;'!E15:E17)</f>
        <v>0</v>
      </c>
      <c r="F4" s="32">
        <f>SUM($Y:$Y)</f>
        <v>185.29999999999998</v>
      </c>
      <c r="G4" s="32">
        <f>F4-E4</f>
        <v>185.29999999999998</v>
      </c>
      <c r="H4" s="31"/>
      <c r="I4" s="32">
        <v>1.3</v>
      </c>
      <c r="J4" s="31"/>
      <c r="K4" s="31"/>
      <c r="L4" s="31"/>
      <c r="M4" s="31"/>
      <c r="N4" s="33"/>
      <c r="O4" s="37">
        <v>0.25</v>
      </c>
      <c r="P4" s="37">
        <v>0.13</v>
      </c>
      <c r="Q4" s="37">
        <v>0.05</v>
      </c>
      <c r="R4" s="37">
        <v>0</v>
      </c>
      <c r="S4" s="34"/>
      <c r="T4" s="33"/>
      <c r="U4" s="36"/>
      <c r="V4" s="34"/>
      <c r="W4" s="36"/>
      <c r="X4" s="36"/>
      <c r="Y4" s="34"/>
    </row>
    <row r="5" spans="1:26" s="30" customFormat="1" ht="24.75" customHeight="1" x14ac:dyDescent="0.25">
      <c r="B5" s="45" t="s">
        <v>34</v>
      </c>
      <c r="C5" s="31"/>
      <c r="D5" s="31"/>
      <c r="E5" s="35">
        <f>SUM('01 UNOS FAKTURE &gt;'!C15:C17)</f>
        <v>0</v>
      </c>
      <c r="F5" s="35">
        <f>SUM($X:$X)</f>
        <v>1392.6</v>
      </c>
      <c r="G5" s="35">
        <f>F5-E5</f>
        <v>1392.6</v>
      </c>
      <c r="H5" s="31"/>
      <c r="I5" s="31"/>
      <c r="J5" s="31"/>
      <c r="K5" s="31"/>
      <c r="L5" s="31"/>
      <c r="M5" s="31"/>
      <c r="N5" s="33"/>
      <c r="O5" s="32">
        <f>SUMIF($N:$N,O4*100,$Y:$Y)</f>
        <v>185.29999999999998</v>
      </c>
      <c r="P5" s="32">
        <f>SUMIF($N:$N,P4*100,$Y:$Y)</f>
        <v>0</v>
      </c>
      <c r="Q5" s="32">
        <f>SUMIF($N:$N,Q4*100,$Y:$Y)</f>
        <v>0</v>
      </c>
      <c r="R5" s="32">
        <f>SUMIF($N:$N,R4*100,$Y:$Y)</f>
        <v>0</v>
      </c>
      <c r="S5" s="34"/>
      <c r="T5" s="33"/>
      <c r="U5" s="36"/>
      <c r="V5" s="34"/>
      <c r="W5" s="36"/>
      <c r="X5" s="36"/>
      <c r="Y5" s="34"/>
    </row>
    <row r="6" spans="1:26" s="13" customFormat="1" x14ac:dyDescent="0.25">
      <c r="B6" s="14" t="s">
        <v>19</v>
      </c>
      <c r="C6" s="14" t="s">
        <v>49</v>
      </c>
      <c r="D6" s="14" t="s">
        <v>20</v>
      </c>
      <c r="E6" s="14" t="s">
        <v>21</v>
      </c>
      <c r="F6" s="14" t="s">
        <v>39</v>
      </c>
      <c r="G6" s="14" t="s">
        <v>31</v>
      </c>
      <c r="H6" s="14" t="s">
        <v>22</v>
      </c>
      <c r="I6" s="14" t="s">
        <v>23</v>
      </c>
      <c r="J6" s="14" t="s">
        <v>24</v>
      </c>
      <c r="K6" s="14" t="s">
        <v>25</v>
      </c>
      <c r="L6" s="14" t="s">
        <v>27</v>
      </c>
      <c r="M6" s="14" t="s">
        <v>28</v>
      </c>
      <c r="N6" s="14" t="s">
        <v>29</v>
      </c>
      <c r="O6" s="18" t="s">
        <v>38</v>
      </c>
      <c r="P6" s="18" t="s">
        <v>37</v>
      </c>
      <c r="Q6" s="20" t="s">
        <v>32</v>
      </c>
      <c r="R6" s="16" t="s">
        <v>40</v>
      </c>
      <c r="S6" s="16" t="s">
        <v>26</v>
      </c>
      <c r="T6" s="20" t="s">
        <v>33</v>
      </c>
      <c r="U6" s="18" t="s">
        <v>41</v>
      </c>
      <c r="V6" s="28" t="s">
        <v>42</v>
      </c>
      <c r="W6" s="20" t="s">
        <v>43</v>
      </c>
      <c r="X6" s="28" t="s">
        <v>46</v>
      </c>
      <c r="Y6" s="20" t="s">
        <v>45</v>
      </c>
    </row>
    <row r="7" spans="1:26" x14ac:dyDescent="0.25">
      <c r="B7" s="21" t="s">
        <v>61</v>
      </c>
      <c r="C7" s="22" t="s">
        <v>59</v>
      </c>
      <c r="D7" s="23" t="s">
        <v>62</v>
      </c>
      <c r="E7" s="23" t="s">
        <v>62</v>
      </c>
      <c r="F7" s="23" t="s">
        <v>63</v>
      </c>
      <c r="G7" s="23" t="s">
        <v>62</v>
      </c>
      <c r="H7" s="23">
        <v>0</v>
      </c>
      <c r="I7" s="23">
        <v>1</v>
      </c>
      <c r="J7" s="23" t="s">
        <v>64</v>
      </c>
      <c r="K7" s="23" t="s">
        <v>65</v>
      </c>
      <c r="L7" s="23">
        <v>3</v>
      </c>
      <c r="M7" s="23" t="s">
        <v>66</v>
      </c>
      <c r="N7" s="50">
        <v>25</v>
      </c>
      <c r="O7" s="48">
        <v>24</v>
      </c>
      <c r="P7" s="49">
        <v>24</v>
      </c>
      <c r="Q7" s="24">
        <v>1.8183</v>
      </c>
      <c r="R7" s="25">
        <v>13.7</v>
      </c>
      <c r="S7" s="29">
        <v>13.7</v>
      </c>
      <c r="T7" s="24">
        <f>ROUND(S7/7.5345,2)</f>
        <v>1.82</v>
      </c>
      <c r="U7" s="48">
        <f>O7-P7</f>
        <v>0</v>
      </c>
      <c r="V7" s="25">
        <f>R7-S7</f>
        <v>0</v>
      </c>
      <c r="W7" s="24">
        <f>Q7-T7</f>
        <v>-1.7000000000000348E-3</v>
      </c>
      <c r="X7" s="25">
        <f>P7*S7</f>
        <v>328.79999999999995</v>
      </c>
      <c r="Y7" s="26">
        <f>P7*T7</f>
        <v>43.68</v>
      </c>
      <c r="Z7" s="19"/>
    </row>
    <row r="8" spans="1:26" x14ac:dyDescent="0.25">
      <c r="B8" s="21" t="s">
        <v>61</v>
      </c>
      <c r="C8" s="22" t="s">
        <v>59</v>
      </c>
      <c r="D8" s="23" t="s">
        <v>67</v>
      </c>
      <c r="E8" s="23" t="s">
        <v>67</v>
      </c>
      <c r="F8" s="23" t="s">
        <v>68</v>
      </c>
      <c r="G8" s="23" t="s">
        <v>67</v>
      </c>
      <c r="H8" s="23">
        <v>0</v>
      </c>
      <c r="I8" s="23">
        <v>1</v>
      </c>
      <c r="J8" s="23" t="s">
        <v>64</v>
      </c>
      <c r="K8" s="23" t="s">
        <v>69</v>
      </c>
      <c r="L8" s="23">
        <v>3</v>
      </c>
      <c r="M8" s="23" t="s">
        <v>66</v>
      </c>
      <c r="N8" s="50">
        <v>25</v>
      </c>
      <c r="O8" s="48">
        <v>6</v>
      </c>
      <c r="P8" s="49">
        <v>6</v>
      </c>
      <c r="Q8" s="24">
        <v>1.46</v>
      </c>
      <c r="R8" s="25">
        <v>11</v>
      </c>
      <c r="S8" s="29">
        <v>11</v>
      </c>
      <c r="T8" s="24">
        <f>ROUND(S8/7.5345,2)</f>
        <v>1.46</v>
      </c>
      <c r="U8" s="48">
        <f>O8-P8</f>
        <v>0</v>
      </c>
      <c r="V8" s="25">
        <f>R8-S8</f>
        <v>0</v>
      </c>
      <c r="W8" s="24">
        <f>Q8-T8</f>
        <v>0</v>
      </c>
      <c r="X8" s="25">
        <f>P8*S8</f>
        <v>66</v>
      </c>
      <c r="Y8" s="26">
        <f>P8*T8</f>
        <v>8.76</v>
      </c>
      <c r="Z8" s="19"/>
    </row>
    <row r="9" spans="1:26" x14ac:dyDescent="0.25">
      <c r="B9" s="21" t="s">
        <v>61</v>
      </c>
      <c r="C9" s="22" t="s">
        <v>59</v>
      </c>
      <c r="D9" s="23" t="s">
        <v>70</v>
      </c>
      <c r="E9" s="23" t="s">
        <v>70</v>
      </c>
      <c r="F9" s="23" t="s">
        <v>71</v>
      </c>
      <c r="G9" s="23" t="s">
        <v>70</v>
      </c>
      <c r="H9" s="23">
        <v>0</v>
      </c>
      <c r="I9" s="23">
        <v>1</v>
      </c>
      <c r="J9" s="23" t="s">
        <v>64</v>
      </c>
      <c r="K9" s="23" t="s">
        <v>72</v>
      </c>
      <c r="L9" s="23">
        <v>3</v>
      </c>
      <c r="M9" s="23" t="s">
        <v>66</v>
      </c>
      <c r="N9" s="50">
        <v>25</v>
      </c>
      <c r="O9" s="48">
        <v>20</v>
      </c>
      <c r="P9" s="49">
        <v>20</v>
      </c>
      <c r="Q9" s="24">
        <v>0.75649999999999995</v>
      </c>
      <c r="R9" s="25">
        <v>5.7</v>
      </c>
      <c r="S9" s="29">
        <v>5.7</v>
      </c>
      <c r="T9" s="24">
        <f>ROUND(S9/7.5345,2)</f>
        <v>0.76</v>
      </c>
      <c r="U9" s="48">
        <f>O9-P9</f>
        <v>0</v>
      </c>
      <c r="V9" s="25">
        <f>R9-S9</f>
        <v>0</v>
      </c>
      <c r="W9" s="24">
        <f>Q9-T9</f>
        <v>-3.5000000000000586E-3</v>
      </c>
      <c r="X9" s="25">
        <f>P9*S9</f>
        <v>114</v>
      </c>
      <c r="Y9" s="26">
        <f>P9*T9</f>
        <v>15.2</v>
      </c>
      <c r="Z9" s="19"/>
    </row>
    <row r="10" spans="1:26" x14ac:dyDescent="0.25">
      <c r="B10" s="21" t="s">
        <v>61</v>
      </c>
      <c r="C10" s="22" t="s">
        <v>59</v>
      </c>
      <c r="D10" s="23" t="s">
        <v>73</v>
      </c>
      <c r="E10" s="23" t="s">
        <v>73</v>
      </c>
      <c r="F10" s="23" t="s">
        <v>74</v>
      </c>
      <c r="G10" s="23" t="s">
        <v>73</v>
      </c>
      <c r="H10" s="23">
        <v>0</v>
      </c>
      <c r="I10" s="23">
        <v>1</v>
      </c>
      <c r="J10" s="23" t="s">
        <v>64</v>
      </c>
      <c r="K10" s="23" t="s">
        <v>75</v>
      </c>
      <c r="L10" s="23">
        <v>3</v>
      </c>
      <c r="M10" s="23" t="s">
        <v>66</v>
      </c>
      <c r="N10" s="50">
        <v>25</v>
      </c>
      <c r="O10" s="48">
        <v>24</v>
      </c>
      <c r="P10" s="49">
        <v>24</v>
      </c>
      <c r="Q10" s="24">
        <v>0.59730000000000005</v>
      </c>
      <c r="R10" s="25">
        <v>4.5</v>
      </c>
      <c r="S10" s="29">
        <v>4.5</v>
      </c>
      <c r="T10" s="24">
        <f>ROUND(S10/7.5345,2)</f>
        <v>0.6</v>
      </c>
      <c r="U10" s="48">
        <f>O10-P10</f>
        <v>0</v>
      </c>
      <c r="V10" s="25">
        <f>R10-S10</f>
        <v>0</v>
      </c>
      <c r="W10" s="24">
        <f>Q10-T10</f>
        <v>-2.6999999999999247E-3</v>
      </c>
      <c r="X10" s="25">
        <f>P10*S10</f>
        <v>108</v>
      </c>
      <c r="Y10" s="26">
        <f>P10*T10</f>
        <v>14.399999999999999</v>
      </c>
      <c r="Z10" s="19"/>
    </row>
    <row r="11" spans="1:26" x14ac:dyDescent="0.25">
      <c r="B11" s="21" t="s">
        <v>61</v>
      </c>
      <c r="C11" s="22" t="s">
        <v>59</v>
      </c>
      <c r="D11" s="23" t="s">
        <v>76</v>
      </c>
      <c r="E11" s="23" t="s">
        <v>76</v>
      </c>
      <c r="F11" s="23" t="s">
        <v>77</v>
      </c>
      <c r="G11" s="23" t="s">
        <v>76</v>
      </c>
      <c r="H11" s="23">
        <v>0</v>
      </c>
      <c r="I11" s="23">
        <v>1</v>
      </c>
      <c r="J11" s="23" t="s">
        <v>64</v>
      </c>
      <c r="K11" s="23" t="s">
        <v>78</v>
      </c>
      <c r="L11" s="23">
        <v>3</v>
      </c>
      <c r="M11" s="23" t="s">
        <v>66</v>
      </c>
      <c r="N11" s="50">
        <v>25</v>
      </c>
      <c r="O11" s="48">
        <v>8</v>
      </c>
      <c r="P11" s="49">
        <v>8</v>
      </c>
      <c r="Q11" s="24">
        <v>2.2483</v>
      </c>
      <c r="R11" s="25">
        <v>16.940000000000001</v>
      </c>
      <c r="S11" s="29">
        <v>16.940000000000001</v>
      </c>
      <c r="T11" s="24">
        <f>ROUND(S11/7.5345,2)</f>
        <v>2.25</v>
      </c>
      <c r="U11" s="48">
        <f>O11-P11</f>
        <v>0</v>
      </c>
      <c r="V11" s="25">
        <f>R11-S11</f>
        <v>0</v>
      </c>
      <c r="W11" s="24">
        <f>Q11-T11</f>
        <v>-1.7000000000000348E-3</v>
      </c>
      <c r="X11" s="25">
        <f>P11*S11</f>
        <v>135.52000000000001</v>
      </c>
      <c r="Y11" s="26">
        <f>P11*T11</f>
        <v>18</v>
      </c>
      <c r="Z11" s="19"/>
    </row>
    <row r="12" spans="1:26" x14ac:dyDescent="0.25">
      <c r="B12" s="21" t="s">
        <v>61</v>
      </c>
      <c r="C12" s="22" t="s">
        <v>59</v>
      </c>
      <c r="D12" s="23" t="s">
        <v>79</v>
      </c>
      <c r="E12" s="23" t="s">
        <v>79</v>
      </c>
      <c r="F12" s="23" t="s">
        <v>80</v>
      </c>
      <c r="G12" s="23" t="s">
        <v>79</v>
      </c>
      <c r="H12" s="23">
        <v>0</v>
      </c>
      <c r="I12" s="23">
        <v>1</v>
      </c>
      <c r="J12" s="23" t="s">
        <v>64</v>
      </c>
      <c r="K12" s="23" t="s">
        <v>81</v>
      </c>
      <c r="L12" s="23">
        <v>3</v>
      </c>
      <c r="M12" s="23" t="s">
        <v>66</v>
      </c>
      <c r="N12" s="50">
        <v>25</v>
      </c>
      <c r="O12" s="48">
        <v>24</v>
      </c>
      <c r="P12" s="49">
        <v>24</v>
      </c>
      <c r="Q12" s="24">
        <v>0.59730000000000005</v>
      </c>
      <c r="R12" s="25">
        <v>4.5</v>
      </c>
      <c r="S12" s="29">
        <v>4.5</v>
      </c>
      <c r="T12" s="24">
        <f>ROUND(S12/7.5345,2)</f>
        <v>0.6</v>
      </c>
      <c r="U12" s="48">
        <f>O12-P12</f>
        <v>0</v>
      </c>
      <c r="V12" s="25">
        <f>R12-S12</f>
        <v>0</v>
      </c>
      <c r="W12" s="24">
        <f>Q12-T12</f>
        <v>-2.6999999999999247E-3</v>
      </c>
      <c r="X12" s="25">
        <f>P12*S12</f>
        <v>108</v>
      </c>
      <c r="Y12" s="26">
        <f>P12*T12</f>
        <v>14.399999999999999</v>
      </c>
      <c r="Z12" s="19"/>
    </row>
    <row r="13" spans="1:26" x14ac:dyDescent="0.25">
      <c r="B13" s="21" t="s">
        <v>61</v>
      </c>
      <c r="C13" s="22" t="s">
        <v>59</v>
      </c>
      <c r="D13" s="23" t="s">
        <v>82</v>
      </c>
      <c r="E13" s="23" t="s">
        <v>82</v>
      </c>
      <c r="F13" s="23" t="s">
        <v>83</v>
      </c>
      <c r="G13" s="23" t="s">
        <v>82</v>
      </c>
      <c r="H13" s="23">
        <v>0</v>
      </c>
      <c r="I13" s="23">
        <v>1</v>
      </c>
      <c r="J13" s="23" t="s">
        <v>64</v>
      </c>
      <c r="K13" s="23" t="s">
        <v>84</v>
      </c>
      <c r="L13" s="23">
        <v>3</v>
      </c>
      <c r="M13" s="23" t="s">
        <v>66</v>
      </c>
      <c r="N13" s="50">
        <v>25</v>
      </c>
      <c r="O13" s="48">
        <v>9</v>
      </c>
      <c r="P13" s="49">
        <v>9</v>
      </c>
      <c r="Q13" s="24">
        <v>0.79630000000000001</v>
      </c>
      <c r="R13" s="25">
        <v>6</v>
      </c>
      <c r="S13" s="29">
        <v>6</v>
      </c>
      <c r="T13" s="24">
        <f>ROUND(S13/7.5345,2)</f>
        <v>0.8</v>
      </c>
      <c r="U13" s="48">
        <f>O13-P13</f>
        <v>0</v>
      </c>
      <c r="V13" s="25">
        <f>R13-S13</f>
        <v>0</v>
      </c>
      <c r="W13" s="24">
        <f>Q13-T13</f>
        <v>-3.7000000000000366E-3</v>
      </c>
      <c r="X13" s="25">
        <f>P13*S13</f>
        <v>54</v>
      </c>
      <c r="Y13" s="26">
        <f>P13*T13</f>
        <v>7.2</v>
      </c>
      <c r="Z13" s="19"/>
    </row>
    <row r="14" spans="1:26" x14ac:dyDescent="0.25">
      <c r="B14" s="21" t="s">
        <v>61</v>
      </c>
      <c r="C14" s="22" t="s">
        <v>59</v>
      </c>
      <c r="D14" s="23" t="s">
        <v>85</v>
      </c>
      <c r="E14" s="23" t="s">
        <v>85</v>
      </c>
      <c r="F14" s="23" t="s">
        <v>86</v>
      </c>
      <c r="G14" s="23" t="s">
        <v>85</v>
      </c>
      <c r="H14" s="23">
        <v>0</v>
      </c>
      <c r="I14" s="23">
        <v>1</v>
      </c>
      <c r="J14" s="23" t="s">
        <v>64</v>
      </c>
      <c r="K14" s="23" t="s">
        <v>87</v>
      </c>
      <c r="L14" s="23">
        <v>3</v>
      </c>
      <c r="M14" s="23" t="s">
        <v>66</v>
      </c>
      <c r="N14" s="50">
        <v>25</v>
      </c>
      <c r="O14" s="48">
        <v>12</v>
      </c>
      <c r="P14" s="49">
        <v>12</v>
      </c>
      <c r="Q14" s="24">
        <v>1.5528999999999999</v>
      </c>
      <c r="R14" s="25">
        <v>11.7</v>
      </c>
      <c r="S14" s="29">
        <v>11.7</v>
      </c>
      <c r="T14" s="24">
        <f>ROUND(S14/7.5345,2)</f>
        <v>1.55</v>
      </c>
      <c r="U14" s="48">
        <f>O14-P14</f>
        <v>0</v>
      </c>
      <c r="V14" s="25">
        <f>R14-S14</f>
        <v>0</v>
      </c>
      <c r="W14" s="24">
        <f>Q14-T14</f>
        <v>2.8999999999999027E-3</v>
      </c>
      <c r="X14" s="25">
        <f>P14*S14</f>
        <v>140.39999999999998</v>
      </c>
      <c r="Y14" s="26">
        <f>P14*T14</f>
        <v>18.600000000000001</v>
      </c>
      <c r="Z14" s="19"/>
    </row>
    <row r="15" spans="1:26" x14ac:dyDescent="0.25">
      <c r="B15" s="21" t="s">
        <v>61</v>
      </c>
      <c r="C15" s="22" t="s">
        <v>59</v>
      </c>
      <c r="D15" s="23" t="s">
        <v>88</v>
      </c>
      <c r="E15" s="23" t="s">
        <v>88</v>
      </c>
      <c r="F15" s="23" t="s">
        <v>89</v>
      </c>
      <c r="G15" s="23" t="s">
        <v>88</v>
      </c>
      <c r="H15" s="23">
        <v>0</v>
      </c>
      <c r="I15" s="23">
        <v>1</v>
      </c>
      <c r="J15" s="23" t="s">
        <v>64</v>
      </c>
      <c r="K15" s="23" t="s">
        <v>90</v>
      </c>
      <c r="L15" s="23">
        <v>3</v>
      </c>
      <c r="M15" s="23" t="s">
        <v>66</v>
      </c>
      <c r="N15" s="50">
        <v>25</v>
      </c>
      <c r="O15" s="48">
        <v>25</v>
      </c>
      <c r="P15" s="49">
        <v>25</v>
      </c>
      <c r="Q15" s="24">
        <v>0.29730000000000001</v>
      </c>
      <c r="R15" s="25">
        <v>2.2400000000000002</v>
      </c>
      <c r="S15" s="29">
        <v>2.2400000000000002</v>
      </c>
      <c r="T15" s="24">
        <f>ROUND(S15/7.5345,2)</f>
        <v>0.3</v>
      </c>
      <c r="U15" s="48">
        <f>O15-P15</f>
        <v>0</v>
      </c>
      <c r="V15" s="25">
        <f>R15-S15</f>
        <v>0</v>
      </c>
      <c r="W15" s="24">
        <f>Q15-T15</f>
        <v>-2.6999999999999802E-3</v>
      </c>
      <c r="X15" s="25">
        <f>P15*S15</f>
        <v>56.000000000000007</v>
      </c>
      <c r="Y15" s="26">
        <f>P15*T15</f>
        <v>7.5</v>
      </c>
    </row>
    <row r="16" spans="1:26" x14ac:dyDescent="0.25">
      <c r="B16" s="21" t="s">
        <v>61</v>
      </c>
      <c r="C16" s="22" t="s">
        <v>59</v>
      </c>
      <c r="D16" s="23" t="s">
        <v>91</v>
      </c>
      <c r="E16" s="23" t="s">
        <v>91</v>
      </c>
      <c r="F16" s="23" t="s">
        <v>92</v>
      </c>
      <c r="G16" s="23" t="s">
        <v>91</v>
      </c>
      <c r="H16" s="23">
        <v>0</v>
      </c>
      <c r="I16" s="23">
        <v>1</v>
      </c>
      <c r="J16" s="23" t="s">
        <v>64</v>
      </c>
      <c r="K16" s="23" t="s">
        <v>93</v>
      </c>
      <c r="L16" s="23">
        <v>3</v>
      </c>
      <c r="M16" s="23" t="s">
        <v>66</v>
      </c>
      <c r="N16" s="50">
        <v>25</v>
      </c>
      <c r="O16" s="48">
        <v>9</v>
      </c>
      <c r="P16" s="49">
        <v>9</v>
      </c>
      <c r="Q16" s="24">
        <v>0.79630000000000001</v>
      </c>
      <c r="R16" s="25">
        <v>6</v>
      </c>
      <c r="S16" s="29">
        <v>6</v>
      </c>
      <c r="T16" s="24">
        <f>ROUND(S16/7.5345,2)</f>
        <v>0.8</v>
      </c>
      <c r="U16" s="48">
        <f>O16-P16</f>
        <v>0</v>
      </c>
      <c r="V16" s="25">
        <f>R16-S16</f>
        <v>0</v>
      </c>
      <c r="W16" s="24">
        <f>Q16-T16</f>
        <v>-3.7000000000000366E-3</v>
      </c>
      <c r="X16" s="25">
        <f>P16*S16</f>
        <v>54</v>
      </c>
      <c r="Y16" s="26">
        <f>P16*T16</f>
        <v>7.2</v>
      </c>
    </row>
    <row r="17" spans="2:25" x14ac:dyDescent="0.25">
      <c r="B17" s="21" t="s">
        <v>61</v>
      </c>
      <c r="C17" s="22" t="s">
        <v>59</v>
      </c>
      <c r="D17" s="23" t="s">
        <v>94</v>
      </c>
      <c r="E17" s="23" t="s">
        <v>94</v>
      </c>
      <c r="F17" s="23" t="s">
        <v>95</v>
      </c>
      <c r="G17" s="23" t="s">
        <v>94</v>
      </c>
      <c r="H17" s="23">
        <v>0</v>
      </c>
      <c r="I17" s="23">
        <v>1</v>
      </c>
      <c r="J17" s="23" t="s">
        <v>64</v>
      </c>
      <c r="K17" s="23" t="s">
        <v>96</v>
      </c>
      <c r="L17" s="23">
        <v>3</v>
      </c>
      <c r="M17" s="23" t="s">
        <v>66</v>
      </c>
      <c r="N17" s="50">
        <v>25</v>
      </c>
      <c r="O17" s="48">
        <v>18</v>
      </c>
      <c r="P17" s="49">
        <v>18</v>
      </c>
      <c r="Q17" s="24">
        <v>0.51759999999999995</v>
      </c>
      <c r="R17" s="25">
        <v>3.9</v>
      </c>
      <c r="S17" s="29">
        <v>3.9</v>
      </c>
      <c r="T17" s="24">
        <f>ROUND(S17/7.5345,2)</f>
        <v>0.52</v>
      </c>
      <c r="U17" s="48">
        <f>O17-P17</f>
        <v>0</v>
      </c>
      <c r="V17" s="25">
        <f>R17-S17</f>
        <v>0</v>
      </c>
      <c r="W17" s="24">
        <f>Q17-T17</f>
        <v>-2.4000000000000687E-3</v>
      </c>
      <c r="X17" s="25">
        <f>P17*S17</f>
        <v>70.2</v>
      </c>
      <c r="Y17" s="26">
        <f>P17*T17</f>
        <v>9.36</v>
      </c>
    </row>
    <row r="18" spans="2:25" x14ac:dyDescent="0.25">
      <c r="B18" s="21" t="s">
        <v>61</v>
      </c>
      <c r="C18" s="22" t="s">
        <v>59</v>
      </c>
      <c r="D18" s="23" t="s">
        <v>97</v>
      </c>
      <c r="E18" s="23" t="s">
        <v>97</v>
      </c>
      <c r="F18" s="23" t="s">
        <v>98</v>
      </c>
      <c r="G18" s="23" t="s">
        <v>97</v>
      </c>
      <c r="H18" s="23">
        <v>0</v>
      </c>
      <c r="I18" s="23">
        <v>1</v>
      </c>
      <c r="J18" s="23" t="s">
        <v>64</v>
      </c>
      <c r="K18" s="23" t="s">
        <v>99</v>
      </c>
      <c r="L18" s="23">
        <v>3</v>
      </c>
      <c r="M18" s="23" t="s">
        <v>66</v>
      </c>
      <c r="N18" s="50">
        <v>25</v>
      </c>
      <c r="O18" s="48">
        <v>9</v>
      </c>
      <c r="P18" s="49">
        <v>9</v>
      </c>
      <c r="Q18" s="24">
        <v>0.79630000000000001</v>
      </c>
      <c r="R18" s="25">
        <v>6</v>
      </c>
      <c r="S18" s="29">
        <v>6</v>
      </c>
      <c r="T18" s="24">
        <f>ROUND(S18/7.5345,2)</f>
        <v>0.8</v>
      </c>
      <c r="U18" s="48">
        <f>O18-P18</f>
        <v>0</v>
      </c>
      <c r="V18" s="25">
        <f>R18-S18</f>
        <v>0</v>
      </c>
      <c r="W18" s="24">
        <f>Q18-T18</f>
        <v>-3.7000000000000366E-3</v>
      </c>
      <c r="X18" s="25">
        <f>P18*S18</f>
        <v>54</v>
      </c>
      <c r="Y18" s="26">
        <f>P18*T18</f>
        <v>7.2</v>
      </c>
    </row>
    <row r="19" spans="2:25" x14ac:dyDescent="0.25">
      <c r="B19" s="21" t="s">
        <v>61</v>
      </c>
      <c r="C19" s="22" t="s">
        <v>59</v>
      </c>
      <c r="D19" s="23" t="s">
        <v>100</v>
      </c>
      <c r="E19" s="23" t="s">
        <v>100</v>
      </c>
      <c r="F19" s="23" t="s">
        <v>101</v>
      </c>
      <c r="G19" s="23" t="s">
        <v>100</v>
      </c>
      <c r="H19" s="23">
        <v>0</v>
      </c>
      <c r="I19" s="23">
        <v>1</v>
      </c>
      <c r="J19" s="23" t="s">
        <v>64</v>
      </c>
      <c r="K19" s="23" t="s">
        <v>102</v>
      </c>
      <c r="L19" s="23">
        <v>3</v>
      </c>
      <c r="M19" s="23" t="s">
        <v>66</v>
      </c>
      <c r="N19" s="50">
        <v>25</v>
      </c>
      <c r="O19" s="48">
        <v>9</v>
      </c>
      <c r="P19" s="49">
        <v>9</v>
      </c>
      <c r="Q19" s="24">
        <v>0.79630000000000001</v>
      </c>
      <c r="R19" s="25">
        <v>6</v>
      </c>
      <c r="S19" s="29">
        <v>6</v>
      </c>
      <c r="T19" s="24">
        <f>ROUND(S19/7.5345,2)</f>
        <v>0.8</v>
      </c>
      <c r="U19" s="48">
        <f>O19-P19</f>
        <v>0</v>
      </c>
      <c r="V19" s="25">
        <f>R19-S19</f>
        <v>0</v>
      </c>
      <c r="W19" s="24">
        <f>Q19-T19</f>
        <v>-3.7000000000000366E-3</v>
      </c>
      <c r="X19" s="25">
        <f>P19*S19</f>
        <v>54</v>
      </c>
      <c r="Y19" s="26">
        <f>P19*T19</f>
        <v>7.2</v>
      </c>
    </row>
    <row r="20" spans="2:25" x14ac:dyDescent="0.25">
      <c r="B20" s="21" t="s">
        <v>61</v>
      </c>
      <c r="C20" s="22" t="s">
        <v>59</v>
      </c>
      <c r="D20" s="23" t="s">
        <v>103</v>
      </c>
      <c r="E20" s="23" t="s">
        <v>103</v>
      </c>
      <c r="F20" s="23" t="s">
        <v>104</v>
      </c>
      <c r="G20" s="23" t="s">
        <v>103</v>
      </c>
      <c r="H20" s="23">
        <v>0</v>
      </c>
      <c r="I20" s="23">
        <v>1</v>
      </c>
      <c r="J20" s="23" t="s">
        <v>64</v>
      </c>
      <c r="K20" s="23" t="s">
        <v>105</v>
      </c>
      <c r="L20" s="23">
        <v>3</v>
      </c>
      <c r="M20" s="23" t="s">
        <v>66</v>
      </c>
      <c r="N20" s="50">
        <v>25</v>
      </c>
      <c r="O20" s="48">
        <v>12</v>
      </c>
      <c r="P20" s="49">
        <v>12</v>
      </c>
      <c r="Q20" s="24">
        <v>0.54949999999999999</v>
      </c>
      <c r="R20" s="25">
        <v>4.1399999999999997</v>
      </c>
      <c r="S20" s="29">
        <v>4.1399999999999997</v>
      </c>
      <c r="T20" s="24">
        <f>ROUND(S20/7.5345,2)</f>
        <v>0.55000000000000004</v>
      </c>
      <c r="U20" s="48">
        <f>O20-P20</f>
        <v>0</v>
      </c>
      <c r="V20" s="25">
        <f>R20-S20</f>
        <v>0</v>
      </c>
      <c r="W20" s="24">
        <f>Q20-T20</f>
        <v>-5.0000000000005596E-4</v>
      </c>
      <c r="X20" s="25">
        <f>P20*S20</f>
        <v>49.679999999999993</v>
      </c>
      <c r="Y20" s="26">
        <f>P20*T20</f>
        <v>6.6000000000000005</v>
      </c>
    </row>
    <row r="21" spans="2:25" x14ac:dyDescent="0.25">
      <c r="B21" s="21" t="s">
        <v>61</v>
      </c>
      <c r="C21" s="22" t="s">
        <v>59</v>
      </c>
      <c r="D21" s="23" t="s">
        <v>103</v>
      </c>
      <c r="E21" s="23" t="s">
        <v>103</v>
      </c>
      <c r="F21" s="23" t="s">
        <v>104</v>
      </c>
      <c r="G21" s="23" t="s">
        <v>103</v>
      </c>
      <c r="H21" s="23">
        <v>1</v>
      </c>
      <c r="I21" s="23">
        <v>1</v>
      </c>
      <c r="J21" s="23" t="s">
        <v>64</v>
      </c>
      <c r="K21" s="23" t="s">
        <v>105</v>
      </c>
      <c r="L21" s="23">
        <v>7</v>
      </c>
      <c r="M21" s="23" t="s">
        <v>106</v>
      </c>
      <c r="N21" s="50">
        <v>0</v>
      </c>
      <c r="O21" s="48">
        <v>12</v>
      </c>
      <c r="P21" s="49">
        <v>12</v>
      </c>
      <c r="Q21" s="24">
        <v>0</v>
      </c>
      <c r="R21" s="25">
        <v>0</v>
      </c>
      <c r="S21" s="29">
        <v>0</v>
      </c>
      <c r="T21" s="24">
        <f>ROUND(S21/7.5345,2)</f>
        <v>0</v>
      </c>
      <c r="U21" s="48">
        <f>O21-P21</f>
        <v>0</v>
      </c>
      <c r="V21" s="25">
        <f>R21-S21</f>
        <v>0</v>
      </c>
      <c r="W21" s="24">
        <f>Q21-T21</f>
        <v>0</v>
      </c>
      <c r="X21" s="25">
        <f>P21*S21</f>
        <v>0</v>
      </c>
      <c r="Y21" s="26">
        <f>P21*T21</f>
        <v>0</v>
      </c>
    </row>
  </sheetData>
  <sheetProtection sheet="1" sort="0" autoFilter="0"/>
  <autoFilter ref="B6:Y14" xr:uid="{15287B1D-307B-4C55-8A18-DD33EA7CD895}"/>
  <conditionalFormatting sqref="B4:Y5">
    <cfRule type="expression" dxfId="1" priority="1">
      <formula>ABS($G$4)&lt;=$I$4</formula>
    </cfRule>
    <cfRule type="expression" dxfId="0" priority="2">
      <formula>ABS($G$4)&gt;$I$4</formula>
    </cfRule>
  </conditionalFormatting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3C6E5884A01124087CDDC74D3984BF3" ma:contentTypeVersion="4" ma:contentTypeDescription="Stvaranje novog dokumenta." ma:contentTypeScope="" ma:versionID="6e32bb484b0d77c4862ff2bcf845b210">
  <xsd:schema xmlns:xsd="http://www.w3.org/2001/XMLSchema" xmlns:xs="http://www.w3.org/2001/XMLSchema" xmlns:p="http://schemas.microsoft.com/office/2006/metadata/properties" xmlns:ns2="96145d78-9b0b-41ed-ba39-5bfe1bf39a86" xmlns:ns3="cea9474c-af0c-4f94-81e5-1377867e6613" targetNamespace="http://schemas.microsoft.com/office/2006/metadata/properties" ma:root="true" ma:fieldsID="5596d5f9d330aaec405d1ccea9e17a0e" ns2:_="" ns3:_="">
    <xsd:import namespace="96145d78-9b0b-41ed-ba39-5bfe1bf39a86"/>
    <xsd:import namespace="cea9474c-af0c-4f94-81e5-1377867e66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145d78-9b0b-41ed-ba39-5bfe1bf39a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a9474c-af0c-4f94-81e5-1377867e66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Zajednički se koristi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ji o zajedničkom korištenju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Vrsta sadržaja"/>
        <xsd:element ref="dc:title" minOccurs="0" maxOccurs="1" ma:index="4" ma:displayName="Naslov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cea9474c-af0c-4f94-81e5-1377867e6613">
      <UserInfo>
        <DisplayName>Jadre Barada</DisplayName>
        <AccountId>21</AccountId>
        <AccountType/>
      </UserInfo>
      <UserInfo>
        <DisplayName>Sebastjan Medved</DisplayName>
        <AccountId>12</AccountId>
        <AccountType/>
      </UserInfo>
      <UserInfo>
        <DisplayName>Zoran Mikulić</DisplayName>
        <AccountId>37</AccountId>
        <AccountType/>
      </UserInfo>
      <UserInfo>
        <DisplayName>dusan.cvijetinovic</DisplayName>
        <AccountId>27</AccountId>
        <AccountType/>
      </UserInfo>
      <UserInfo>
        <DisplayName>Mario Markota</DisplayName>
        <AccountId>16</AccountId>
        <AccountType/>
      </UserInfo>
      <UserInfo>
        <DisplayName>Vladimir Kiš</DisplayName>
        <AccountId>14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EBD40E0F-7776-4A83-B474-FB4E28B41E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145d78-9b0b-41ed-ba39-5bfe1bf39a86"/>
    <ds:schemaRef ds:uri="cea9474c-af0c-4f94-81e5-1377867e66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4A945F-914A-4982-9E79-3574CA5584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1FE3433-E890-4D51-92EB-EB427204F24D}">
  <ds:schemaRefs>
    <ds:schemaRef ds:uri="http://schemas.microsoft.com/office/2006/metadata/properties"/>
    <ds:schemaRef ds:uri="http://schemas.microsoft.com/office/infopath/2007/PartnerControls"/>
    <ds:schemaRef ds:uri="dc9b1a69-de7b-4b1c-a77d-f49c1c3d591c"/>
    <ds:schemaRef ds:uri="bc97e62c-7ea9-4b8e-977c-6d651422542f"/>
    <ds:schemaRef ds:uri="db3b9617-faed-4fd2-8019-9cebaee5097c"/>
    <ds:schemaRef ds:uri="cea9474c-af0c-4f94-81e5-1377867e661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01 UNOS FAKTURE &gt;</vt:lpstr>
      <vt:lpstr>02 OBJAŠNJAVANJE RAZLIKA</vt:lpstr>
    </vt:vector>
  </TitlesOfParts>
  <Manager/>
  <Company>Tommy d.o.o.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Politika-MPC-kalkulator</dc:title>
  <dc:subject/>
  <dc:creator>Jadre Barada;Stefan Dunić;Vladimir.Kis@tommy.hr</dc:creator>
  <cp:keywords>gold; prix;</cp:keywords>
  <dc:description/>
  <cp:lastModifiedBy>Stefan Dunić</cp:lastModifiedBy>
  <cp:revision/>
  <dcterms:created xsi:type="dcterms:W3CDTF">2015-06-05T18:17:20Z</dcterms:created>
  <dcterms:modified xsi:type="dcterms:W3CDTF">2023-02-01T11:36:37Z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0x010100F3C6E5884A01124087CDDC74D3984BF3</vt:lpwstr>
  </property>
</Properties>
</file>