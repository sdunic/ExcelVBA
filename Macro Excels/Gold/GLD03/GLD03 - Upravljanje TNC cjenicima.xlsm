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"/>
    </mc:Choice>
  </mc:AlternateContent>
  <xr:revisionPtr revIDLastSave="0" documentId="13_ncr:1_{165C9C16-590C-48DA-9144-7EA982C3F021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01 Dohvat cjenika &gt;" sheetId="3" r:id="rId1"/>
    <sheet name="02 Upravljanje cjenicima &gt;" sheetId="2" r:id="rId2"/>
    <sheet name="03 Spremanje promjena" sheetId="4" r:id="rId3"/>
  </sheets>
  <functionGroups builtInGroupCount="19"/>
  <definedNames>
    <definedName name="_xlnm._FilterDatabase" localSheetId="1" hidden="1">'02 Upravljanje cjenicima &gt;'!$B$4:$AZ$5369</definedName>
    <definedName name="_xlnm._FilterDatabase" localSheetId="2" hidden="1">'03 Spremanje promjena'!$B$4:$AZ$4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<sst xmlns="http://schemas.openxmlformats.org/spreadsheetml/2006/main" count="159" uniqueCount="85">
  <si>
    <t>v 1.11</t>
  </si>
  <si>
    <t>01 DOHVAT TNC CJENIKA &gt;</t>
  </si>
  <si>
    <t>FILTER</t>
  </si>
  <si>
    <t>Korisnik</t>
  </si>
  <si>
    <t>LISTA BARKODOVA (MAX 800)</t>
  </si>
  <si>
    <t>Robni čvor</t>
  </si>
  <si>
    <t>Artikl</t>
  </si>
  <si>
    <t>Dobavljač</t>
  </si>
  <si>
    <t>Datum od</t>
  </si>
  <si>
    <t>Datum do</t>
  </si>
  <si>
    <t>Napomena</t>
  </si>
  <si>
    <t>Robni čvor ili artikl možete ostaviti prazno ili upisati jedan od dva parametra.</t>
  </si>
  <si>
    <t>02 UPRAVLJANJE TNC CJENICIMA &gt;</t>
  </si>
  <si>
    <t>Šifra artikla</t>
  </si>
  <si>
    <t>Barkod artikla</t>
  </si>
  <si>
    <t>Naziv artikla</t>
  </si>
  <si>
    <t>Brand</t>
  </si>
  <si>
    <t>Principal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</si>
  <si>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</si>
  <si>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</si>
  <si>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</si>
  <si>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</si>
  <si>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</si>
  <si>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</si>
  <si>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</si>
  <si>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</si>
  <si>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</si>
  <si>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</si>
  <si>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Asortiman</t>
  </si>
  <si>
    <t>TSC</t>
  </si>
  <si>
    <t>Opis</t>
  </si>
  <si>
    <t>Svojstva</t>
  </si>
  <si>
    <t>Datum TNC</t>
  </si>
  <si>
    <t>TNC</t>
  </si>
  <si>
    <t>Nova TNC</t>
  </si>
  <si>
    <t>Indeks TNC</t>
  </si>
  <si>
    <t>Datum TNC A</t>
  </si>
  <si>
    <t>TNC A</t>
  </si>
  <si>
    <t>Nova TNC A</t>
  </si>
  <si>
    <t>Indeks TNC A</t>
  </si>
  <si>
    <t>Datum TNC B</t>
  </si>
  <si>
    <t>TNC B</t>
  </si>
  <si>
    <t>Nova TNC B</t>
  </si>
  <si>
    <t>Indeks TNC B</t>
  </si>
  <si>
    <t>Datum TNC C</t>
  </si>
  <si>
    <t>TNC C</t>
  </si>
  <si>
    <t>Nova TNC C</t>
  </si>
  <si>
    <t>Indeks TNC C</t>
  </si>
  <si>
    <t>Datum TNC D</t>
  </si>
  <si>
    <t>TNC D</t>
  </si>
  <si>
    <t>Nova TNC D</t>
  </si>
  <si>
    <t>Indeks TNC D</t>
  </si>
  <si>
    <t>Datum TNC S</t>
  </si>
  <si>
    <t>TNC S</t>
  </si>
  <si>
    <t>Nova TNC S</t>
  </si>
  <si>
    <t>Indeks TNC S</t>
  </si>
  <si>
    <t>Redak</t>
  </si>
  <si>
    <t>Porezna grupa</t>
  </si>
  <si>
    <t>CEXV</t>
  </si>
  <si>
    <t>Broj promjena (&gt;1 ili prazno)</t>
  </si>
  <si>
    <t>03 SPREMANJE PROMJENA</t>
  </si>
  <si>
    <t>Datum TNC KAMP</t>
  </si>
  <si>
    <t>TNC KAMP</t>
  </si>
  <si>
    <t>Nova TNC KAMP</t>
  </si>
  <si>
    <t>Indeks TNC KAMP</t>
  </si>
  <si>
    <t>dunic.stefan</t>
  </si>
  <si>
    <t>100001750 - 8455 - MEGGLE HRVATSKA D.O.O.</t>
  </si>
  <si>
    <t>10000262 - 4034900008190 - NAMAZ ML. CLASS.250 g ALPINESS</t>
  </si>
  <si>
    <t>10000262</t>
  </si>
  <si>
    <t>4034900008190</t>
  </si>
  <si>
    <t>NAMAZ ML. CLASS.250 g ALPINESS</t>
  </si>
  <si>
    <t>20</t>
  </si>
  <si>
    <t>HLAĐENO I SMRZNUTO</t>
  </si>
  <si>
    <t>2010</t>
  </si>
  <si>
    <t>HLAĐENI PROGRAM</t>
  </si>
  <si>
    <t>201080</t>
  </si>
  <si>
    <t>MASLACI I MARGARINI</t>
  </si>
  <si>
    <t>20108010</t>
  </si>
  <si>
    <t>MASLAC</t>
  </si>
  <si>
    <t>2010801030</t>
  </si>
  <si>
    <t>NAMAZ NA BAZI MASLACA</t>
  </si>
  <si>
    <t>MM4</t>
  </si>
  <si>
    <t>TOP500</t>
  </si>
  <si>
    <t>1.5.2023 - 31.5.2023</t>
  </si>
  <si>
    <t>3.5.2023 - 31.5.2023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</si>
</sst>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3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49" fontId="3" fillId="6" borderId="1" xfId="0" applyNumberFormat="1" applyFont="1" applyFill="1" applyBorder="1" applyAlignment="1" applyProtection="1">
      <alignment horizontal="left" indent="1"/>
      <protection locked="0"/>
    </xf>
    <xf numFmtId="0" fontId="4" fillId="2" borderId="0" xfId="0" applyFont="1" applyFill="1" applyAlignment="1">
      <alignment horizontal="left" indent="1"/>
    </xf>
    <xf numFmtId="0" fontId="3" fillId="7" borderId="1" xfId="0" applyFont="1" applyFill="1" applyBorder="1" applyAlignment="1">
      <alignment horizontal="left" indent="1"/>
    </xf>
    <xf numFmtId="0" fontId="5" fillId="2" borderId="0" xfId="0" applyFont="1" applyFill="1"/>
    <xf numFmtId="0" fontId="3" fillId="7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14" fontId="3" fillId="7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right"/>
    </xf>
    <xf numFmtId="0" fontId="3" fillId="2" borderId="0" xfId="0" applyFont="1" applyFill="1" applyAlignment="1">
      <alignment horizontal="right"/>
    </xf>
    <xf numFmtId="9" fontId="3" fillId="7" borderId="0" xfId="2" applyFont="1" applyFill="1" applyAlignment="1">
      <alignment horizontal="left"/>
    </xf>
    <xf numFmtId="164" fontId="3" fillId="2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left"/>
    </xf>
    <xf numFmtId="0" fontId="3" fillId="2" borderId="0" xfId="0" applyFont="1" applyFill="1" applyProtection="1">
      <protection locked="0"/>
    </xf>
    <xf numFmtId="0" fontId="3" fillId="2" borderId="0" xfId="0" applyFont="1" applyFill="1" applyAlignment="1">
      <alignment horizontal="left"/>
    </xf>
    <xf numFmtId="0" fontId="8" fillId="2" borderId="0" xfId="0" applyFont="1" applyFill="1"/>
    <xf numFmtId="0" fontId="10" fillId="2" borderId="0" xfId="0" applyFont="1" applyFill="1"/>
    <xf numFmtId="0" fontId="10" fillId="2" borderId="0" xfId="0" applyFont="1" applyFill="1" applyAlignment="1">
      <alignment horizontal="left" indent="1"/>
    </xf>
    <xf numFmtId="0" fontId="3" fillId="2" borderId="0" xfId="0" applyFont="1" applyFill="1" applyAlignment="1">
      <alignment wrapText="1"/>
    </xf>
    <xf numFmtId="14" fontId="3" fillId="6" borderId="1" xfId="0" applyNumberFormat="1" applyFont="1" applyFill="1" applyBorder="1" applyAlignment="1" applyProtection="1">
      <alignment horizontal="left" indent="1"/>
      <protection locked="0"/>
    </xf>
    <xf numFmtId="49" fontId="9" fillId="2" borderId="0" xfId="0" applyNumberFormat="1" applyFont="1" applyFill="1" applyAlignment="1">
      <alignment horizontal="left"/>
    </xf>
    <xf numFmtId="49" fontId="9" fillId="2" borderId="0" xfId="2" applyNumberFormat="1" applyFont="1" applyFill="1" applyAlignment="1">
      <alignment horizontal="left"/>
    </xf>
    <xf numFmtId="4" fontId="3" fillId="2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left"/>
    </xf>
    <xf numFmtId="49" fontId="3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49" fontId="11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/>
    </xf>
    <xf numFmtId="164" fontId="9" fillId="2" borderId="0" xfId="0" applyNumberFormat="1" applyFont="1" applyFill="1" applyAlignment="1">
      <alignment horizontal="left"/>
    </xf>
    <xf numFmtId="164" fontId="3" fillId="2" borderId="0" xfId="0" applyNumberFormat="1" applyFont="1" applyFill="1" applyAlignment="1">
      <alignment horizontal="left"/>
    </xf>
    <xf numFmtId="164" fontId="7" fillId="2" borderId="0" xfId="0" applyNumberFormat="1" applyFont="1" applyFill="1" applyAlignment="1" applyProtection="1">
      <alignment horizontal="right"/>
      <protection locked="0"/>
    </xf>
    <xf numFmtId="0" fontId="9" fillId="5" borderId="0" xfId="0" applyFont="1" applyFill="1"/>
    <xf numFmtId="0" fontId="9" fillId="5" borderId="0" xfId="0" applyFont="1" applyFill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2" applyNumberFormat="1" applyFont="1" applyFill="1" applyAlignment="1">
      <alignment horizontal="left"/>
    </xf>
    <xf numFmtId="0" fontId="9" fillId="4" borderId="0" xfId="0" applyFont="1" applyFill="1"/>
    <xf numFmtId="0" fontId="9" fillId="4" borderId="0" xfId="0" applyFont="1" applyFill="1" applyAlignment="1">
      <alignment horizontal="right"/>
    </xf>
    <xf numFmtId="0" fontId="9" fillId="4" borderId="0" xfId="0" applyFont="1" applyFill="1" applyAlignment="1">
      <alignment horizontal="left"/>
    </xf>
    <xf numFmtId="0" fontId="9" fillId="4" borderId="0" xfId="2" applyNumberFormat="1" applyFont="1" applyFill="1" applyAlignment="1">
      <alignment horizontal="left"/>
    </xf>
    <xf numFmtId="9" fontId="9" fillId="2" borderId="0" xfId="2" applyFont="1" applyFill="1" applyAlignment="1">
      <alignment horizontal="left"/>
    </xf>
    <xf numFmtId="9" fontId="9" fillId="4" borderId="0" xfId="2" applyFont="1" applyFill="1" applyAlignment="1">
      <alignment horizontal="left"/>
    </xf>
    <xf numFmtId="9" fontId="3" fillId="2" borderId="0" xfId="0" applyNumberFormat="1" applyFont="1" applyFill="1" applyAlignment="1">
      <alignment horizontal="left"/>
    </xf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FFFF2"/>
      <color rgb="FFFFE5E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18</xdr:row>
          <xdr:rowOff>95250</xdr:rowOff>
        </xdr:from>
        <xdr:to>
          <xdr:col>2</xdr:col>
          <xdr:colOff>2247900</xdr:colOff>
          <xdr:row>21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CJENIKE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3</xdr:row>
          <xdr:rowOff>114300</xdr:rowOff>
        </xdr:from>
        <xdr:to>
          <xdr:col>6</xdr:col>
          <xdr:colOff>38100</xdr:colOff>
          <xdr:row>5</xdr:row>
          <xdr:rowOff>47625</xdr:rowOff>
        </xdr:to>
        <xdr:sp macro="" textlink="">
          <xdr:nvSpPr>
            <xdr:cNvPr id="1027" name="btnSearch" descr="NAPREDN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1:H17"/>
  <sheetViews>
    <sheetView workbookViewId="0">
      <selection activeCell="H6" sqref="H6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65.42578125" style="4" bestFit="1" customWidth="1"/>
    <col min="4" max="4" width="9.140625" style="1"/>
    <col min="5" max="5" width="11" style="1" bestFit="1" customWidth="1"/>
    <col min="6" max="6" width="9.140625" style="1"/>
    <col min="7" max="7" width="3.7109375" style="1" customWidth="1"/>
    <col min="8" max="8" width="28.28515625" style="32" customWidth="1"/>
    <col min="9" max="16384" width="9.140625" style="1"/>
  </cols>
  <sheetData>
    <row r="1" spans="1:8" x14ac:dyDescent="0.25">
      <c r="H1" s="28"/>
    </row>
    <row r="2" spans="1:8" x14ac:dyDescent="0.25">
      <c r="C2" s="21" t="s">
        <v>0</v>
      </c>
      <c r="H2" s="28"/>
    </row>
    <row r="3" spans="1:8" s="2" customFormat="1" x14ac:dyDescent="0.25">
      <c r="A3" s="2" t="s">
        <v>1</v>
      </c>
      <c r="C3" s="3"/>
      <c r="H3" s="29"/>
    </row>
    <row r="4" spans="1:8" x14ac:dyDescent="0.25">
      <c r="H4" s="30" t="s">
        <v>2</v>
      </c>
    </row>
    <row r="5" spans="1:8" x14ac:dyDescent="0.25">
      <c r="B5" s="1" t="s">
        <v>3</v>
      </c>
      <c r="C5" s="7" t="s">
        <v>65</v>
      </c>
      <c r="H5" s="31" t="s">
        <v>4</v>
      </c>
    </row>
    <row r="7" spans="1:8" x14ac:dyDescent="0.25">
      <c r="B7" s="1" t="s">
        <v>5</v>
      </c>
      <c r="C7" s="5"/>
      <c r="D7" s="6"/>
    </row>
    <row r="9" spans="1:8" x14ac:dyDescent="0.25">
      <c r="B9" s="1" t="s">
        <v>6</v>
      </c>
      <c r="C9" s="5" t="s">
        <v>67</v>
      </c>
      <c r="D9" s="6"/>
    </row>
    <row r="11" spans="1:8" x14ac:dyDescent="0.25">
      <c r="B11" s="1" t="s">
        <v>7</v>
      </c>
      <c r="C11" s="5" t="s">
        <v>66</v>
      </c>
      <c r="D11" s="6"/>
    </row>
    <row r="13" spans="1:8" x14ac:dyDescent="0.25">
      <c r="B13" s="1" t="s">
        <v>8</v>
      </c>
      <c r="C13" s="23">
        <v>45078</v>
      </c>
    </row>
    <row r="15" spans="1:8" x14ac:dyDescent="0.25">
      <c r="B15" s="1" t="s">
        <v>9</v>
      </c>
      <c r="C15" s="23">
        <v>45107</v>
      </c>
    </row>
    <row r="17" spans="2:3" x14ac:dyDescent="0.25">
      <c r="B17" s="8" t="s">
        <v>10</v>
      </c>
      <c r="C17" s="6" t="s">
        <v>11</v>
      </c>
    </row>
  </sheetData>
  <sheetProtection selectLockedCells="1" sort="0" autoFilter="0"/>
  <dataValidations count="2">
    <dataValidation type="date" operator="greaterThan" allowBlank="1" showInputMessage="1" showErrorMessage="1" errorTitle="Greška" error="Datum novih cijena mora biti veći od današnjeg datuma!" sqref="C13" xr:uid="{92484C6D-639C-49B2-8420-2B4D94E5EA60}">
      <formula1>TODAY()</formula1>
    </dataValidation>
    <dataValidation type="date" operator="greaterThan" allowBlank="1" showInputMessage="1" showErrorMessage="1" sqref="C15" xr:uid="{489CFE81-63B8-4DE5-AF62-05A3452EDF9A}">
      <formula1>C13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Prixes">
                <anchor moveWithCells="1" sizeWithCells="1">
                  <from>
                    <xdr:col>1</xdr:col>
                    <xdr:colOff>95250</xdr:colOff>
                    <xdr:row>18</xdr:row>
                    <xdr:rowOff>95250</xdr:rowOff>
                  </from>
                  <to>
                    <xdr:col>2</xdr:col>
                    <xdr:colOff>2247900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Search">
              <controlPr defaultSize="0" print="0" autoFill="0" autoPict="0" macro="[0]!loadSearch" altText="NAPREDNO">
                <anchor moveWithCells="1" sizeWithCells="1">
                  <from>
                    <xdr:col>3</xdr:col>
                    <xdr:colOff>104775</xdr:colOff>
                    <xdr:row>3</xdr:row>
                    <xdr:rowOff>114300</xdr:rowOff>
                  </from>
                  <to>
                    <xdr:col>6</xdr:col>
                    <xdr:colOff>38100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BA5383"/>
  <sheetViews>
    <sheetView tabSelected="1" workbookViewId="0">
      <pane xSplit="4" ySplit="4" topLeftCell="Z5" activePane="bottomRight" state="frozen"/>
      <selection pane="topRight" activeCell="E1" sqref="E1"/>
      <selection pane="bottomLeft" activeCell="A5" sqref="A5"/>
      <selection pane="bottomRight" activeCell="AA5" sqref="AA5"/>
    </sheetView>
  </sheetViews>
  <sheetFormatPr defaultColWidth="9.425781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22.855468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9" style="1" bestFit="1" customWidth="1"/>
    <col min="14" max="14" width="53.140625" style="1" bestFit="1" customWidth="1"/>
    <col min="15" max="15" width="11" style="1" bestFit="1" customWidth="1"/>
    <col min="16" max="16" width="51.85546875" style="1" bestFit="1" customWidth="1"/>
    <col min="17" max="17" width="18.28515625" style="1" customWidth="1"/>
    <col min="18" max="18" width="11.5703125" style="15" bestFit="1" customWidth="1"/>
    <col min="19" max="19" width="12.42578125" style="17" customWidth="1"/>
    <col min="20" max="20" width="20.5703125" style="17" customWidth="1"/>
    <col min="21" max="21" width="13.140625" style="10" bestFit="1" customWidth="1"/>
    <col min="22" max="22" width="9.140625" style="15" bestFit="1" customWidth="1"/>
    <col min="23" max="23" width="11.85546875" style="35" bestFit="1" customWidth="1"/>
    <col min="24" max="24" width="13.140625" style="12" bestFit="1" customWidth="1"/>
    <col min="25" max="25" width="20.7109375" style="10" bestFit="1" customWidth="1"/>
    <col min="26" max="26" width="9.140625" style="15" bestFit="1" customWidth="1"/>
    <col min="27" max="27" width="13.5703125" style="35" bestFit="1" customWidth="1"/>
    <col min="28" max="28" width="14.85546875" style="12" bestFit="1" customWidth="1"/>
    <col min="29" max="29" width="20.7109375" style="10" bestFit="1" customWidth="1"/>
    <col min="30" max="30" width="9.140625" style="15" bestFit="1" customWidth="1"/>
    <col min="31" max="31" width="13.42578125" style="35" bestFit="1" customWidth="1"/>
    <col min="32" max="32" width="14.7109375" style="12" bestFit="1" customWidth="1"/>
    <col min="33" max="33" width="20.7109375" style="10" bestFit="1" customWidth="1"/>
    <col min="34" max="34" width="9.140625" style="15" bestFit="1" customWidth="1"/>
    <col min="35" max="35" width="13.42578125" style="35" bestFit="1" customWidth="1"/>
    <col min="36" max="36" width="14.7109375" style="12" bestFit="1" customWidth="1"/>
    <col min="37" max="37" width="20.7109375" style="10" bestFit="1" customWidth="1"/>
    <col min="38" max="38" width="9.140625" style="15" bestFit="1" customWidth="1"/>
    <col min="39" max="39" width="13.5703125" style="35" bestFit="1" customWidth="1"/>
    <col min="40" max="40" width="14.85546875" style="12" bestFit="1" customWidth="1"/>
    <col min="41" max="41" width="19.140625" style="10" bestFit="1" customWidth="1"/>
    <col min="42" max="42" width="9.140625" style="15" bestFit="1" customWidth="1"/>
    <col min="43" max="43" width="13.5703125" style="35" bestFit="1" customWidth="1"/>
    <col min="44" max="44" width="14.85546875" style="12" bestFit="1" customWidth="1"/>
    <col min="45" max="45" width="19" style="10" bestFit="1" customWidth="1"/>
    <col min="46" max="46" width="12.5703125" style="15" bestFit="1" customWidth="1"/>
    <col min="47" max="47" width="17.7109375" style="35" bestFit="1" customWidth="1"/>
    <col min="48" max="48" width="19" style="12" bestFit="1" customWidth="1"/>
    <col min="49" max="49" width="8.7109375" style="18" bestFit="1" customWidth="1"/>
    <col min="50" max="50" width="16" style="9" bestFit="1" customWidth="1"/>
    <col min="51" max="51" width="7.85546875" style="9" bestFit="1" customWidth="1"/>
    <col min="52" max="52" width="28.85546875" style="9" bestFit="1" customWidth="1"/>
    <col min="53" max="16384" width="9.42578125" style="13"/>
  </cols>
  <sheetData>
    <row r="1" spans="1:53" x14ac:dyDescent="0.25">
      <c r="S1" s="1"/>
      <c r="T1" s="1"/>
      <c r="V1" s="33"/>
      <c r="W1" s="33"/>
      <c r="X1" s="25"/>
      <c r="Y1" s="24"/>
      <c r="Z1" s="33"/>
      <c r="AA1" s="33"/>
      <c r="AB1" s="25"/>
      <c r="AC1" s="24"/>
      <c r="AD1" s="33"/>
      <c r="AE1" s="33"/>
      <c r="AF1" s="25"/>
      <c r="AG1" s="24"/>
      <c r="AH1" s="33"/>
      <c r="AI1" s="33"/>
      <c r="AJ1" s="25"/>
      <c r="AK1" s="24"/>
      <c r="AL1" s="33"/>
      <c r="AM1" s="33"/>
      <c r="AN1" s="25"/>
      <c r="AO1" s="24"/>
      <c r="AP1" s="33"/>
      <c r="AQ1" s="33"/>
      <c r="AR1" s="25"/>
      <c r="AS1" s="24"/>
      <c r="AT1" s="33"/>
      <c r="AU1" s="33"/>
      <c r="AV1" s="25"/>
      <c r="AW1" s="24"/>
      <c r="AX1" s="24"/>
      <c r="AY1" s="24"/>
      <c r="AZ1" s="25">
        <v>-2</v>
      </c>
      <c r="BA1" s="24"/>
    </row>
    <row r="2" spans="1:53" x14ac:dyDescent="0.25">
      <c r="C2" s="20" t="str">
        <f>'01 Dohvat cjenika &gt;'!C2</f>
        <v>v 1.11</v>
      </c>
      <c r="G2" s="19"/>
      <c r="H2" s="19"/>
      <c r="S2" s="1"/>
      <c r="T2" s="1"/>
      <c r="V2" s="34"/>
      <c r="W2" s="34"/>
      <c r="X2" s="27"/>
      <c r="Z2" s="34"/>
      <c r="AA2" s="34"/>
      <c r="AB2" s="27"/>
      <c r="AD2" s="34"/>
      <c r="AE2" s="34"/>
      <c r="AF2" s="27"/>
      <c r="AH2" s="34"/>
      <c r="AI2" s="34"/>
      <c r="AJ2" s="27"/>
      <c r="AL2" s="34"/>
      <c r="AM2" s="34"/>
      <c r="AN2" s="27"/>
      <c r="AP2" s="34"/>
      <c r="AQ2" s="34"/>
      <c r="AR2" s="27"/>
      <c r="AT2" s="34"/>
      <c r="AU2" s="34"/>
      <c r="AV2" s="27"/>
      <c r="AW2" s="10"/>
      <c r="AX2" s="26"/>
      <c r="AY2" s="26"/>
      <c r="AZ2" s="27"/>
      <c r="BA2" s="10"/>
    </row>
    <row r="3" spans="1:53" s="37" customFormat="1" x14ac:dyDescent="0.25">
      <c r="A3" s="36" t="s">
        <v>12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S3" s="36"/>
      <c r="T3" s="36"/>
      <c r="U3" s="38"/>
      <c r="V3" s="38">
        <v>7600</v>
      </c>
      <c r="W3" s="38"/>
      <c r="X3" s="39"/>
      <c r="Y3" s="38"/>
      <c r="Z3" s="38">
        <v>7550</v>
      </c>
      <c r="AA3" s="38"/>
      <c r="AB3" s="39"/>
      <c r="AC3" s="38"/>
      <c r="AD3" s="38">
        <v>7500</v>
      </c>
      <c r="AE3" s="38"/>
      <c r="AF3" s="39"/>
      <c r="AG3" s="38"/>
      <c r="AH3" s="38">
        <v>7450</v>
      </c>
      <c r="AI3" s="38"/>
      <c r="AJ3" s="39"/>
      <c r="AK3" s="38"/>
      <c r="AL3" s="38">
        <v>7400</v>
      </c>
      <c r="AM3" s="38"/>
      <c r="AN3" s="39"/>
      <c r="AO3" s="38"/>
      <c r="AP3" s="38">
        <v>7350</v>
      </c>
      <c r="AQ3" s="38"/>
      <c r="AR3" s="39"/>
      <c r="AS3" s="38"/>
      <c r="AT3" s="38">
        <v>7399</v>
      </c>
      <c r="AU3" s="38"/>
      <c r="AV3" s="39"/>
      <c r="AW3" s="38"/>
      <c r="AX3" s="38"/>
      <c r="AY3" s="38"/>
      <c r="AZ3" s="38"/>
    </row>
    <row r="4" spans="1:53" s="9" customFormat="1" x14ac:dyDescent="0.25">
      <c r="B4" s="9" t="s">
        <v>13</v>
      </c>
      <c r="C4" s="9" t="s">
        <v>14</v>
      </c>
      <c r="D4" s="9" t="s">
        <v>15</v>
      </c>
      <c r="E4" s="9" t="s">
        <v>16</v>
      </c>
      <c r="F4" s="9" t="s">
        <v>17</v>
      </c>
      <c r="G4" s="9" t="s">
        <v>18</v>
      </c>
      <c r="H4" s="9" t="s">
        <v>19</v>
      </c>
      <c r="I4" s="9" t="s">
        <v>20</v>
      </c>
      <c r="J4" s="9" t="s">
        <v>21</v>
      </c>
      <c r="K4" s="9" t="s">
        <v>22</v>
      </c>
      <c r="L4" s="9" t="s">
        <v>23</v>
      </c>
      <c r="M4" s="9" t="s">
        <v>24</v>
      </c>
      <c r="N4" s="9" t="s">
        <v>25</v>
      </c>
      <c r="O4" s="9" t="s">
        <v>26</v>
      </c>
      <c r="P4" s="9" t="s">
        <v>27</v>
      </c>
      <c r="Q4" s="9" t="s">
        <v>28</v>
      </c>
      <c r="R4" s="16" t="s">
        <v>29</v>
      </c>
      <c r="S4" s="9" t="s">
        <v>30</v>
      </c>
      <c r="T4" s="9" t="s">
        <v>31</v>
      </c>
      <c r="U4" s="11" t="s">
        <v>32</v>
      </c>
      <c r="V4" s="16" t="s">
        <v>33</v>
      </c>
      <c r="W4" s="16" t="s">
        <v>34</v>
      </c>
      <c r="X4" s="14" t="s">
        <v>35</v>
      </c>
      <c r="Y4" s="11" t="s">
        <v>36</v>
      </c>
      <c r="Z4" s="16" t="s">
        <v>37</v>
      </c>
      <c r="AA4" s="16" t="s">
        <v>38</v>
      </c>
      <c r="AB4" s="14" t="s">
        <v>39</v>
      </c>
      <c r="AC4" s="11" t="s">
        <v>40</v>
      </c>
      <c r="AD4" s="16" t="s">
        <v>41</v>
      </c>
      <c r="AE4" s="16" t="s">
        <v>42</v>
      </c>
      <c r="AF4" s="14" t="s">
        <v>43</v>
      </c>
      <c r="AG4" s="11" t="s">
        <v>44</v>
      </c>
      <c r="AH4" s="16" t="s">
        <v>45</v>
      </c>
      <c r="AI4" s="16" t="s">
        <v>46</v>
      </c>
      <c r="AJ4" s="14" t="s">
        <v>47</v>
      </c>
      <c r="AK4" s="11" t="s">
        <v>48</v>
      </c>
      <c r="AL4" s="16" t="s">
        <v>49</v>
      </c>
      <c r="AM4" s="16" t="s">
        <v>50</v>
      </c>
      <c r="AN4" s="14" t="s">
        <v>51</v>
      </c>
      <c r="AO4" s="11" t="s">
        <v>52</v>
      </c>
      <c r="AP4" s="16" t="s">
        <v>53</v>
      </c>
      <c r="AQ4" s="16" t="s">
        <v>54</v>
      </c>
      <c r="AR4" s="14" t="s">
        <v>55</v>
      </c>
      <c r="AS4" s="11" t="s">
        <v>61</v>
      </c>
      <c r="AT4" s="16" t="s">
        <v>62</v>
      </c>
      <c r="AU4" s="16" t="s">
        <v>63</v>
      </c>
      <c r="AV4" s="14" t="s">
        <v>64</v>
      </c>
      <c r="AW4" s="9" t="s">
        <v>56</v>
      </c>
      <c r="AX4" s="9" t="s">
        <v>57</v>
      </c>
      <c r="AY4" s="9" t="s">
        <v>58</v>
      </c>
      <c r="AZ4" s="9" t="s">
        <v>59</v>
      </c>
    </row>
    <row r="5" spans="1:53" x14ac:dyDescent="0.25">
      <c r="B5" s="1" t="s">
        <v>68</v>
      </c>
      <c r="C5" s="1" t="s">
        <v>69</v>
      </c>
      <c r="D5" s="1" t="s">
        <v>70</v>
      </c>
      <c r="G5" s="1" t="s">
        <v>71</v>
      </c>
      <c r="H5" s="1" t="s">
        <v>72</v>
      </c>
      <c r="I5" s="1" t="s">
        <v>73</v>
      </c>
      <c r="J5" s="1" t="s">
        <v>74</v>
      </c>
      <c r="K5" s="1" t="s">
        <v>75</v>
      </c>
      <c r="L5" s="1" t="s">
        <v>76</v>
      </c>
      <c r="M5" s="1" t="s">
        <v>77</v>
      </c>
      <c r="N5" s="1" t="s">
        <v>78</v>
      </c>
      <c r="O5" s="1" t="s">
        <v>79</v>
      </c>
      <c r="P5" s="1" t="s">
        <v>80</v>
      </c>
      <c r="Q5" s="1" t="s">
        <v>81</v>
      </c>
      <c r="R5" s="15">
        <v>0</v>
      </c>
      <c r="T5" s="17" t="s">
        <v>82</v>
      </c>
      <c r="V5" s="15">
        <v>0</v>
      </c>
      <c r="Y5" s="10" t="s">
        <v>83</v>
      </c>
      <c r="Z5" s="15">
        <v>3.29</v>
      </c>
      <c r="AA5" s="35">
        <v>3.49</v>
      </c>
      <c r="AB5" s="12">
        <v>1.0607902735562311</v>
      </c>
      <c r="AC5" s="10" t="s">
        <v>83</v>
      </c>
      <c r="AD5" s="15">
        <v>3.29</v>
      </c>
      <c r="AG5" s="10" t="s">
        <v>83</v>
      </c>
      <c r="AH5" s="15">
        <v>3.39</v>
      </c>
      <c r="AK5" s="10" t="s">
        <v>83</v>
      </c>
      <c r="AL5" s="15">
        <v>3.39</v>
      </c>
      <c r="AP5" s="15">
        <v>0</v>
      </c>
      <c r="AS5" s="10" t="s">
        <v>84</v>
      </c>
      <c r="AT5" s="15">
        <v>3.39</v>
      </c>
      <c r="AW5" s="18">
        <v>1</v>
      </c>
      <c r="AX5" s="9">
        <v>3</v>
      </c>
      <c r="AY5" s="9">
        <v>1</v>
      </c>
      <c r="AZ5" s="9">
        <v>1</v>
      </c>
    </row>
    <row r="1069" spans="4:4" x14ac:dyDescent="0.25">
      <c r="D1069" s="22"/>
    </row>
    <row r="1071" spans="4:4" x14ac:dyDescent="0.25">
      <c r="D1071" s="22"/>
    </row>
    <row r="5334" spans="4:4" x14ac:dyDescent="0.25">
      <c r="D5334" s="22"/>
    </row>
    <row r="5381" spans="4:4" x14ac:dyDescent="0.25">
      <c r="D5381" s="22"/>
    </row>
    <row r="5383" spans="4:4" x14ac:dyDescent="0.25">
      <c r="D5383" s="22"/>
    </row>
  </sheetData>
  <autoFilter ref="B4:AZ5369" xr:uid="{1B1CDCA1-C607-4CEF-B6CD-F8CEE60E3275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Price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BA5383"/>
  <sheetViews>
    <sheetView workbookViewId="0">
      <pane xSplit="4" ySplit="4" topLeftCell="Q5" activePane="bottomRight" state="frozen"/>
      <selection pane="topRight" activeCell="E1" sqref="E1"/>
      <selection pane="bottomLeft" activeCell="A8" sqref="A8"/>
      <selection pane="bottomRight" activeCell="AA5" sqref="AA5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10.71093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8.85546875" style="1" bestFit="1" customWidth="1"/>
    <col min="14" max="14" width="53.140625" style="1" bestFit="1" customWidth="1"/>
    <col min="15" max="15" width="9" style="1" bestFit="1" customWidth="1"/>
    <col min="16" max="16" width="51.85546875" style="1" bestFit="1" customWidth="1"/>
    <col min="17" max="17" width="18.28515625" style="1" customWidth="1"/>
    <col min="18" max="18" width="11.5703125" style="15" bestFit="1" customWidth="1"/>
    <col min="19" max="19" width="12.42578125" style="17" customWidth="1"/>
    <col min="20" max="20" width="20.5703125" style="17" customWidth="1"/>
    <col min="21" max="21" width="19.140625" style="10" bestFit="1" customWidth="1"/>
    <col min="22" max="22" width="9.140625" style="15" bestFit="1" customWidth="1"/>
    <col min="23" max="23" width="11.85546875" style="35" bestFit="1" customWidth="1"/>
    <col min="24" max="24" width="13.140625" style="12" bestFit="1" customWidth="1"/>
    <col min="25" max="25" width="19.140625" style="10" bestFit="1" customWidth="1"/>
    <col min="26" max="26" width="9.140625" style="15" bestFit="1" customWidth="1"/>
    <col min="27" max="27" width="13.5703125" style="35" bestFit="1" customWidth="1"/>
    <col min="28" max="28" width="14.85546875" style="12" bestFit="1" customWidth="1"/>
    <col min="29" max="29" width="19.140625" style="10" bestFit="1" customWidth="1"/>
    <col min="30" max="30" width="9.140625" style="15" bestFit="1" customWidth="1"/>
    <col min="31" max="31" width="13.42578125" style="35" bestFit="1" customWidth="1"/>
    <col min="32" max="32" width="14.7109375" style="12" bestFit="1" customWidth="1"/>
    <col min="33" max="33" width="19.140625" style="10" bestFit="1" customWidth="1"/>
    <col min="34" max="34" width="9.140625" style="15" bestFit="1" customWidth="1"/>
    <col min="35" max="35" width="13.42578125" style="35" bestFit="1" customWidth="1"/>
    <col min="36" max="36" width="14.7109375" style="12" bestFit="1" customWidth="1"/>
    <col min="37" max="37" width="19.140625" style="10" bestFit="1" customWidth="1"/>
    <col min="38" max="38" width="9.140625" style="15" bestFit="1" customWidth="1"/>
    <col min="39" max="39" width="13.5703125" style="35" bestFit="1" customWidth="1"/>
    <col min="40" max="40" width="14.85546875" style="12" bestFit="1" customWidth="1"/>
    <col min="41" max="41" width="19.140625" style="10" bestFit="1" customWidth="1"/>
    <col min="42" max="42" width="9.140625" style="34" bestFit="1" customWidth="1"/>
    <col min="43" max="43" width="13.5703125" style="35" bestFit="1" customWidth="1"/>
    <col min="44" max="44" width="14.5703125" style="18" bestFit="1" customWidth="1"/>
    <col min="45" max="45" width="19" style="10" bestFit="1" customWidth="1"/>
    <col min="46" max="46" width="12.5703125" style="34" bestFit="1" customWidth="1"/>
    <col min="47" max="47" width="17.7109375" style="35" bestFit="1" customWidth="1"/>
    <col min="48" max="48" width="19" style="46" bestFit="1" customWidth="1"/>
    <col min="49" max="49" width="8.7109375" style="18" bestFit="1" customWidth="1"/>
    <col min="50" max="50" width="16" style="9" bestFit="1" customWidth="1"/>
    <col min="51" max="51" width="7.85546875" style="9" bestFit="1" customWidth="1"/>
    <col min="52" max="52" width="28.85546875" style="9" bestFit="1" customWidth="1"/>
    <col min="53" max="16384" width="9.140625" style="13"/>
  </cols>
  <sheetData>
    <row r="1" spans="1:53" x14ac:dyDescent="0.25">
      <c r="S1" s="1"/>
      <c r="T1" s="1"/>
      <c r="U1" s="24"/>
      <c r="V1" s="33"/>
      <c r="W1" s="33"/>
      <c r="X1" s="25"/>
      <c r="Y1" s="24"/>
      <c r="Z1" s="33"/>
      <c r="AA1" s="33"/>
      <c r="AB1" s="25"/>
      <c r="AC1" s="24"/>
      <c r="AD1" s="33"/>
      <c r="AE1" s="33"/>
      <c r="AF1" s="25"/>
      <c r="AG1" s="24"/>
      <c r="AH1" s="33"/>
      <c r="AI1" s="33"/>
      <c r="AJ1" s="25"/>
      <c r="AK1" s="24"/>
      <c r="AL1" s="33"/>
      <c r="AM1" s="33"/>
      <c r="AN1" s="25"/>
      <c r="AO1" s="24"/>
      <c r="AP1" s="33"/>
      <c r="AQ1" s="33"/>
      <c r="AR1" s="25"/>
      <c r="AS1" s="24"/>
      <c r="AT1" s="33"/>
      <c r="AU1" s="33"/>
      <c r="AV1" s="44"/>
      <c r="AW1" s="24"/>
      <c r="AX1" s="24"/>
      <c r="AY1" s="24"/>
      <c r="AZ1" s="25"/>
      <c r="BA1" s="24"/>
    </row>
    <row r="2" spans="1:53" x14ac:dyDescent="0.25">
      <c r="C2" s="20"/>
      <c r="G2" s="19"/>
      <c r="H2" s="19"/>
      <c r="S2" s="1"/>
      <c r="T2" s="1"/>
      <c r="V2" s="34"/>
      <c r="W2" s="34"/>
      <c r="X2" s="27"/>
      <c r="Z2" s="34"/>
      <c r="AA2" s="34"/>
      <c r="AB2" s="27"/>
      <c r="AD2" s="34"/>
      <c r="AE2" s="34"/>
      <c r="AF2" s="27"/>
      <c r="AH2" s="34"/>
      <c r="AI2" s="34"/>
      <c r="AJ2" s="27"/>
      <c r="AL2" s="34"/>
      <c r="AM2" s="34"/>
      <c r="AN2" s="27"/>
      <c r="AQ2" s="34"/>
      <c r="AR2" s="27"/>
      <c r="AU2" s="34"/>
      <c r="AV2" s="27"/>
      <c r="AW2" s="10"/>
      <c r="AX2" s="26"/>
      <c r="AY2" s="26"/>
      <c r="AZ2" s="27"/>
      <c r="BA2" s="10"/>
    </row>
    <row r="3" spans="1:53" s="41" customFormat="1" x14ac:dyDescent="0.25">
      <c r="A3" s="40" t="s">
        <v>60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S3" s="40"/>
      <c r="T3" s="40"/>
      <c r="U3" s="40"/>
      <c r="V3" s="42">
        <v>7600</v>
      </c>
      <c r="W3" s="42"/>
      <c r="X3" s="43"/>
      <c r="Y3" s="40"/>
      <c r="Z3" s="42">
        <v>7550</v>
      </c>
      <c r="AA3" s="42"/>
      <c r="AB3" s="43"/>
      <c r="AC3" s="40"/>
      <c r="AD3" s="42">
        <v>7500</v>
      </c>
      <c r="AE3" s="42"/>
      <c r="AF3" s="43"/>
      <c r="AG3" s="40"/>
      <c r="AH3" s="42">
        <v>7450</v>
      </c>
      <c r="AI3" s="42"/>
      <c r="AJ3" s="43"/>
      <c r="AK3" s="40"/>
      <c r="AL3" s="42">
        <v>7400</v>
      </c>
      <c r="AM3" s="42"/>
      <c r="AN3" s="43"/>
      <c r="AO3" s="40"/>
      <c r="AP3" s="42">
        <v>7350</v>
      </c>
      <c r="AQ3" s="42"/>
      <c r="AR3" s="43"/>
      <c r="AS3" s="40"/>
      <c r="AT3" s="42">
        <v>7399</v>
      </c>
      <c r="AU3" s="42"/>
      <c r="AV3" s="45"/>
      <c r="AW3" s="42"/>
      <c r="AX3" s="42"/>
      <c r="AY3" s="42"/>
      <c r="AZ3" s="42"/>
    </row>
    <row r="4" spans="1:53" s="9" customFormat="1" x14ac:dyDescent="0.25">
      <c r="B4" s="9" t="s">
        <v>13</v>
      </c>
      <c r="C4" s="9" t="s">
        <v>14</v>
      </c>
      <c r="D4" s="9" t="s">
        <v>15</v>
      </c>
      <c r="E4" s="9" t="s">
        <v>16</v>
      </c>
      <c r="F4" s="9" t="s">
        <v>17</v>
      </c>
      <c r="G4" s="9" t="s">
        <v>18</v>
      </c>
      <c r="H4" s="9" t="s">
        <v>19</v>
      </c>
      <c r="I4" s="9" t="s">
        <v>20</v>
      </c>
      <c r="J4" s="9" t="s">
        <v>21</v>
      </c>
      <c r="K4" s="9" t="s">
        <v>22</v>
      </c>
      <c r="L4" s="9" t="s">
        <v>23</v>
      </c>
      <c r="M4" s="9" t="s">
        <v>24</v>
      </c>
      <c r="N4" s="9" t="s">
        <v>25</v>
      </c>
      <c r="O4" s="9" t="s">
        <v>26</v>
      </c>
      <c r="P4" s="9" t="s">
        <v>27</v>
      </c>
      <c r="Q4" s="9" t="s">
        <v>28</v>
      </c>
      <c r="R4" s="16" t="s">
        <v>29</v>
      </c>
      <c r="S4" s="9" t="s">
        <v>30</v>
      </c>
      <c r="T4" s="9" t="s">
        <v>31</v>
      </c>
      <c r="U4" s="11" t="s">
        <v>32</v>
      </c>
      <c r="V4" s="16" t="s">
        <v>33</v>
      </c>
      <c r="W4" s="16" t="s">
        <v>34</v>
      </c>
      <c r="X4" s="14" t="s">
        <v>35</v>
      </c>
      <c r="Y4" s="11" t="s">
        <v>36</v>
      </c>
      <c r="Z4" s="16" t="s">
        <v>37</v>
      </c>
      <c r="AA4" s="16" t="s">
        <v>38</v>
      </c>
      <c r="AB4" s="14" t="s">
        <v>39</v>
      </c>
      <c r="AC4" s="11" t="s">
        <v>40</v>
      </c>
      <c r="AD4" s="16" t="s">
        <v>41</v>
      </c>
      <c r="AE4" s="16" t="s">
        <v>42</v>
      </c>
      <c r="AF4" s="14" t="s">
        <v>43</v>
      </c>
      <c r="AG4" s="11" t="s">
        <v>44</v>
      </c>
      <c r="AH4" s="16" t="s">
        <v>45</v>
      </c>
      <c r="AI4" s="16" t="s">
        <v>46</v>
      </c>
      <c r="AJ4" s="14" t="s">
        <v>47</v>
      </c>
      <c r="AK4" s="11" t="s">
        <v>48</v>
      </c>
      <c r="AL4" s="16" t="s">
        <v>49</v>
      </c>
      <c r="AM4" s="16" t="s">
        <v>50</v>
      </c>
      <c r="AN4" s="14" t="s">
        <v>51</v>
      </c>
      <c r="AO4" s="11" t="s">
        <v>52</v>
      </c>
      <c r="AP4" s="16" t="s">
        <v>53</v>
      </c>
      <c r="AQ4" s="16" t="s">
        <v>54</v>
      </c>
      <c r="AR4" s="14" t="s">
        <v>55</v>
      </c>
      <c r="AS4" s="11" t="s">
        <v>61</v>
      </c>
      <c r="AT4" s="16" t="s">
        <v>62</v>
      </c>
      <c r="AU4" s="16" t="s">
        <v>63</v>
      </c>
      <c r="AV4" s="14" t="s">
        <v>64</v>
      </c>
      <c r="AW4" s="9" t="s">
        <v>56</v>
      </c>
      <c r="AX4" s="9" t="s">
        <v>57</v>
      </c>
      <c r="AY4" s="9" t="s">
        <v>58</v>
      </c>
      <c r="AZ4" s="9" t="s">
        <v>59</v>
      </c>
    </row>
    <row r="5" spans="1:53" x14ac:dyDescent="0.25">
      <c r="B5" s="1" t="s">
        <v>68</v>
      </c>
      <c r="C5" s="1" t="s">
        <v>69</v>
      </c>
      <c r="D5" s="1" t="s">
        <v>70</v>
      </c>
      <c r="G5" s="1" t="s">
        <v>71</v>
      </c>
      <c r="H5" s="1" t="s">
        <v>72</v>
      </c>
      <c r="I5" s="1" t="s">
        <v>73</v>
      </c>
      <c r="J5" s="1" t="s">
        <v>74</v>
      </c>
      <c r="K5" s="1" t="s">
        <v>75</v>
      </c>
      <c r="L5" s="1" t="s">
        <v>76</v>
      </c>
      <c r="M5" s="1" t="s">
        <v>77</v>
      </c>
      <c r="N5" s="1" t="s">
        <v>78</v>
      </c>
      <c r="O5" s="1" t="s">
        <v>79</v>
      </c>
      <c r="P5" s="1" t="s">
        <v>80</v>
      </c>
      <c r="Q5" s="1" t="s">
        <v>81</v>
      </c>
      <c r="R5" s="15">
        <v>0</v>
      </c>
      <c r="T5" s="17" t="s">
        <v>82</v>
      </c>
      <c r="V5" s="15">
        <v>0</v>
      </c>
      <c r="Y5" s="10" t="s">
        <v>83</v>
      </c>
      <c r="Z5" s="15">
        <v>3.29</v>
      </c>
      <c r="AA5" s="35">
        <v>3.49</v>
      </c>
      <c r="AB5" s="12">
        <v>1.0607902735562311</v>
      </c>
      <c r="AC5" s="10" t="s">
        <v>83</v>
      </c>
      <c r="AD5" s="15">
        <v>3.29</v>
      </c>
      <c r="AG5" s="10" t="s">
        <v>83</v>
      </c>
      <c r="AH5" s="15">
        <v>3.39</v>
      </c>
      <c r="AK5" s="10" t="s">
        <v>83</v>
      </c>
      <c r="AL5" s="15">
        <v>3.39</v>
      </c>
      <c r="AP5" s="34">
        <v>0</v>
      </c>
      <c r="AS5" s="10" t="s">
        <v>84</v>
      </c>
      <c r="AT5" s="34">
        <v>3.39</v>
      </c>
      <c r="AW5" s="18">
        <v>1</v>
      </c>
      <c r="AX5" s="9">
        <v>3</v>
      </c>
      <c r="AY5" s="9">
        <v>1</v>
      </c>
      <c r="AZ5" s="9">
        <v>1</v>
      </c>
    </row>
    <row r="1069" spans="4:4" x14ac:dyDescent="0.25">
      <c r="D1069" s="22"/>
    </row>
    <row r="1071" spans="4:4" x14ac:dyDescent="0.25">
      <c r="D1071" s="22"/>
    </row>
    <row r="5334" spans="4:4" x14ac:dyDescent="0.25">
      <c r="D5334" s="22"/>
    </row>
    <row r="5381" spans="4:4" x14ac:dyDescent="0.25">
      <c r="D5381" s="22"/>
    </row>
    <row r="5383" spans="4:4" x14ac:dyDescent="0.25">
      <c r="D5383" s="22"/>
    </row>
  </sheetData>
  <sheetProtection sort="0" autoFilter="0"/>
  <autoFilter ref="B4:AZ4" xr:uid="{28A08053-1C6F-4BDD-A864-4669E2622F6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adChanges">
              <controlPr defaultSize="0" print="0" autoFill="0" autoPict="0" macro="[0]!insert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cea9474c-af0c-4f94-81e5-1377867e6613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B86F1F-0E12-4C2E-87AE-9DA3D9D75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cjenika &gt;</vt:lpstr>
      <vt:lpstr>02 Upravljanje cjenicima &gt;</vt:lpstr>
      <vt:lpstr>03 Spremanje promjena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2023-05-25T11:16:43Z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