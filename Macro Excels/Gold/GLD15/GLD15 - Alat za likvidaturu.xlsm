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74" documentId="13_ncr:1_{23A044A9-2A6E-423A-856F-1FB1CF159D08}" xr6:coauthVersionLast="47" xr6:coauthVersionMax="47" xr10:uidLastSave="{32B4CC5E-C16F-408D-A891-5748854BD616}"/>
  <bookViews>
    <workbookView xWindow="-120" yWindow="-120" windowWidth="29040" windowHeight="15990" tabRatio="494" activeTab="1" xr2:uid="{00000000-000D-0000-FFFF-FFFF00000000}"/>
  </bookViews>
  <sheets>
    <sheet name="01 UNOS FAKTURE &gt;" sheetId="3" r:id="rId1"/>
    <sheet name="02 OBJAŠNJAVANJE RAZLIKA" sheetId="9" r:id="rId2"/>
  </sheets>
  <functionGroups builtInGroupCount="19"/>
  <definedNames>
    <definedName name="_xlnm._FilterDatabase" localSheetId="1" hidden="1">'02 OBJAŠNJAVANJE RAZLIKA'!$B$6:$Y$14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8" i="9" l="1"/>
  <c r="V8" i="9"/>
  <c r="U8" i="9"/>
  <c r="T8" i="9"/>
  <c r="W8" i="9" s="1"/>
  <c r="X7" i="9"/>
  <c r="V7" i="9"/>
  <c r="U7" i="9"/>
  <c r="T7" i="9"/>
  <c r="Y7" i="9" s="1"/>
  <c r="W7" i="9" l="1"/>
  <c r="Y8" i="9"/>
  <c r="E20" i="3"/>
  <c r="E5" i="9" l="1"/>
  <c r="E15" i="3"/>
  <c r="O5" i="9" l="1"/>
  <c r="Q5" i="9"/>
  <c r="P5" i="9"/>
  <c r="R5" i="9" l="1"/>
  <c r="F4" i="9"/>
  <c r="F5" i="9"/>
  <c r="E17" i="3"/>
  <c r="E18" i="3"/>
  <c r="E16" i="3"/>
  <c r="E4" i="9" l="1"/>
  <c r="F15" i="3"/>
  <c r="F17" i="3"/>
  <c r="F18" i="3"/>
  <c r="F16" i="3"/>
  <c r="G5" i="9"/>
  <c r="G4" i="9" l="1"/>
</calcChain>
</file>

<file path=xl/sharedStrings.xml><?xml version="1.0" encoding="utf-8"?>
<sst xmlns="http://schemas.openxmlformats.org/spreadsheetml/2006/main" count="84" uniqueCount="71">
  <si>
    <t>Korisnik</t>
  </si>
  <si>
    <t>Dobavljač</t>
  </si>
  <si>
    <t>Datum fakture</t>
  </si>
  <si>
    <t>Broj fakture</t>
  </si>
  <si>
    <t>Datum valute</t>
  </si>
  <si>
    <t>Osnovica (25%)</t>
  </si>
  <si>
    <t>Osnovica (5%)</t>
  </si>
  <si>
    <t>Osnovica (13%)</t>
  </si>
  <si>
    <t>Total za platiti (sa PDV)</t>
  </si>
  <si>
    <t>01 UNOS FAKTURE &gt;</t>
  </si>
  <si>
    <t>v 1.00</t>
  </si>
  <si>
    <t>HRK UNOS</t>
  </si>
  <si>
    <t>EURO IZRAČUN</t>
  </si>
  <si>
    <t>Dokumenti prijema</t>
  </si>
  <si>
    <t>&gt;&gt;</t>
  </si>
  <si>
    <t>Trgovina</t>
  </si>
  <si>
    <t>% UDIO</t>
  </si>
  <si>
    <t>&lt;&lt;</t>
  </si>
  <si>
    <t>02 OBJAŠNJAVANJE RAZLIKA</t>
  </si>
  <si>
    <t>BROJ PRIJEMA</t>
  </si>
  <si>
    <t>KOD ARTIKLA</t>
  </si>
  <si>
    <t>CEXR</t>
  </si>
  <si>
    <t>PN</t>
  </si>
  <si>
    <t>LV</t>
  </si>
  <si>
    <t>OPIS LV</t>
  </si>
  <si>
    <t>NAZIV ARTIKLA</t>
  </si>
  <si>
    <t>NC FAKTURA HRK</t>
  </si>
  <si>
    <t>PDV GRUPA</t>
  </si>
  <si>
    <t>NAZIV PDV GRUPE</t>
  </si>
  <si>
    <t>PDV STOPA</t>
  </si>
  <si>
    <t>dokumente prijema odvojiti zarezom</t>
  </si>
  <si>
    <t>EAN</t>
  </si>
  <si>
    <t>NC PRIJEM EUR</t>
  </si>
  <si>
    <t>NC FAKTURA EUR</t>
  </si>
  <si>
    <t>OSTAJE ZA OBJASNITI KN</t>
  </si>
  <si>
    <t>OSTAJE ZA OBJASNITI EUR</t>
  </si>
  <si>
    <t>Osnovica (0%) (PN)</t>
  </si>
  <si>
    <t>KOL FAKTURA</t>
  </si>
  <si>
    <t>KOL PRIJEM</t>
  </si>
  <si>
    <t>ŠIFRA ZA NARUČIVANJE</t>
  </si>
  <si>
    <t>NC PRIJEM KN</t>
  </si>
  <si>
    <t>KOL RAZLIKA</t>
  </si>
  <si>
    <t>KN RAZLIKA</t>
  </si>
  <si>
    <t>EUR RAZLIKA</t>
  </si>
  <si>
    <t>RAZLIKA</t>
  </si>
  <si>
    <t>KOL x EUR</t>
  </si>
  <si>
    <t>KOL x KN</t>
  </si>
  <si>
    <t>TEH. TOLERANCA</t>
  </si>
  <si>
    <t>PREGLED POREZNIH OSNOVICA</t>
  </si>
  <si>
    <t>BROJ DOSTAVNICE</t>
  </si>
  <si>
    <t>KOMERCIJALNI UGOVOR</t>
  </si>
  <si>
    <t>FAKTURA ZAGLAVLJE BEZ PN</t>
  </si>
  <si>
    <t>FAKTURA STAVKE BEZ PN</t>
  </si>
  <si>
    <t>Brojevi dostavnica</t>
  </si>
  <si>
    <t>brojeve dostavnica razdvojiti sa zarezom</t>
  </si>
  <si>
    <t>dunic.stefan</t>
  </si>
  <si>
    <t>KN_60</t>
  </si>
  <si>
    <t>PDV 25%</t>
  </si>
  <si>
    <t>v 1.01</t>
  </si>
  <si>
    <t>10132</t>
  </si>
  <si>
    <t>100002254 - 9977 - MIRNA-VERIS D.O.O.</t>
  </si>
  <si>
    <t>4986</t>
  </si>
  <si>
    <t>0000031156781</t>
  </si>
  <si>
    <t>4840095019893</t>
  </si>
  <si>
    <t>10006704</t>
  </si>
  <si>
    <t>Komad</t>
  </si>
  <si>
    <t>BOMBON TVRDI MIX 390 g FRUTIC</t>
  </si>
  <si>
    <t>5948351004061</t>
  </si>
  <si>
    <t>10014200</t>
  </si>
  <si>
    <t>HAJDUK-T-01</t>
  </si>
  <si>
    <t>VREĆICA HAJDUK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</si>
</sst>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"/>
    <numFmt numFmtId="165" formatCode="#,##0.00\ [$HRK]"/>
    <numFmt numFmtId="166" formatCode="#,##0.00\ &quot;€&quot;"/>
    <numFmt numFmtId="167" formatCode="#,##0.00\ [$kn-41A]"/>
    <numFmt numFmtId="168" formatCode="#,##0.0000\ &quot;€&quot;"/>
    <numFmt numFmtId="169" formatCode="#,##0.0000\ [$kn-41A]"/>
    <numFmt numFmtId="170" formatCode="#,##0.000"/>
  </numFmts>
  <fonts count="16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scheme val="minor"/>
    </font>
    <font>
      <b/>
      <sz val="11"/>
      <name val="Calibri"/>
      <family val="2"/>
      <charset val="238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  <font>
      <b/>
      <u/>
      <sz val="12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5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63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4" fillId="2" borderId="0" xfId="0" applyFont="1" applyFill="1"/>
    <xf numFmtId="165" fontId="2" fillId="2" borderId="0" xfId="0" applyNumberFormat="1" applyFont="1" applyFill="1" applyAlignment="1">
      <alignment horizontal="left" indent="1"/>
    </xf>
    <xf numFmtId="0" fontId="7" fillId="5" borderId="1" xfId="0" applyFont="1" applyFill="1" applyBorder="1" applyAlignment="1">
      <alignment horizontal="left" indent="1"/>
    </xf>
    <xf numFmtId="0" fontId="2" fillId="2" borderId="0" xfId="0" applyFont="1" applyFill="1" applyAlignment="1">
      <alignment vertical="top"/>
    </xf>
    <xf numFmtId="0" fontId="8" fillId="2" borderId="0" xfId="0" applyFont="1" applyFill="1" applyAlignment="1">
      <alignment horizontal="center"/>
    </xf>
    <xf numFmtId="166" fontId="2" fillId="2" borderId="0" xfId="0" applyNumberFormat="1" applyFont="1" applyFill="1"/>
    <xf numFmtId="0" fontId="7" fillId="5" borderId="1" xfId="0" applyFont="1" applyFill="1" applyBorder="1" applyAlignment="1">
      <alignment horizontal="right" indent="1"/>
    </xf>
    <xf numFmtId="0" fontId="8" fillId="2" borderId="0" xfId="0" applyFont="1" applyFill="1" applyAlignment="1">
      <alignment horizontal="center" vertical="top"/>
    </xf>
    <xf numFmtId="0" fontId="3" fillId="2" borderId="0" xfId="0" applyFont="1" applyFill="1" applyAlignment="1">
      <alignment vertical="top"/>
    </xf>
    <xf numFmtId="0" fontId="2" fillId="5" borderId="0" xfId="0" applyFont="1" applyFill="1"/>
    <xf numFmtId="0" fontId="7" fillId="5" borderId="0" xfId="0" applyFont="1" applyFill="1"/>
    <xf numFmtId="167" fontId="2" fillId="2" borderId="0" xfId="0" applyNumberFormat="1" applyFont="1" applyFill="1"/>
    <xf numFmtId="167" fontId="7" fillId="5" borderId="0" xfId="0" applyNumberFormat="1" applyFont="1" applyFill="1"/>
    <xf numFmtId="4" fontId="2" fillId="2" borderId="0" xfId="0" applyNumberFormat="1" applyFont="1" applyFill="1"/>
    <xf numFmtId="4" fontId="7" fillId="5" borderId="0" xfId="0" applyNumberFormat="1" applyFont="1" applyFill="1"/>
    <xf numFmtId="168" fontId="2" fillId="2" borderId="0" xfId="0" applyNumberFormat="1" applyFont="1" applyFill="1"/>
    <xf numFmtId="168" fontId="7" fillId="5" borderId="0" xfId="0" applyNumberFormat="1" applyFont="1" applyFill="1"/>
    <xf numFmtId="0" fontId="2" fillId="2" borderId="2" xfId="0" applyFont="1" applyFill="1" applyBorder="1"/>
    <xf numFmtId="0" fontId="2" fillId="2" borderId="3" xfId="0" applyFont="1" applyFill="1" applyBorder="1" applyAlignment="1">
      <alignment horizontal="left" indent="1"/>
    </xf>
    <xf numFmtId="0" fontId="2" fillId="2" borderId="3" xfId="0" applyFont="1" applyFill="1" applyBorder="1"/>
    <xf numFmtId="168" fontId="2" fillId="2" borderId="3" xfId="0" applyNumberFormat="1" applyFont="1" applyFill="1" applyBorder="1"/>
    <xf numFmtId="167" fontId="2" fillId="2" borderId="3" xfId="0" applyNumberFormat="1" applyFont="1" applyFill="1" applyBorder="1"/>
    <xf numFmtId="168" fontId="2" fillId="2" borderId="4" xfId="0" applyNumberFormat="1" applyFont="1" applyFill="1" applyBorder="1"/>
    <xf numFmtId="169" fontId="2" fillId="2" borderId="0" xfId="0" applyNumberFormat="1" applyFont="1" applyFill="1"/>
    <xf numFmtId="169" fontId="7" fillId="5" borderId="0" xfId="0" applyNumberFormat="1" applyFont="1" applyFill="1"/>
    <xf numFmtId="167" fontId="2" fillId="4" borderId="3" xfId="0" applyNumberFormat="1" applyFont="1" applyFill="1" applyBorder="1" applyProtection="1">
      <protection locked="0"/>
    </xf>
    <xf numFmtId="0" fontId="9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166" fontId="10" fillId="5" borderId="0" xfId="0" applyNumberFormat="1" applyFont="1" applyFill="1" applyAlignment="1">
      <alignment vertical="center"/>
    </xf>
    <xf numFmtId="4" fontId="10" fillId="5" borderId="0" xfId="0" applyNumberFormat="1" applyFont="1" applyFill="1" applyAlignment="1">
      <alignment vertical="center"/>
    </xf>
    <xf numFmtId="168" fontId="10" fillId="5" borderId="0" xfId="0" applyNumberFormat="1" applyFont="1" applyFill="1" applyAlignment="1">
      <alignment vertical="center"/>
    </xf>
    <xf numFmtId="167" fontId="10" fillId="5" borderId="0" xfId="0" applyNumberFormat="1" applyFont="1" applyFill="1" applyAlignment="1">
      <alignment vertical="center"/>
    </xf>
    <xf numFmtId="169" fontId="10" fillId="5" borderId="0" xfId="0" applyNumberFormat="1" applyFont="1" applyFill="1" applyAlignment="1">
      <alignment vertical="center"/>
    </xf>
    <xf numFmtId="9" fontId="10" fillId="5" borderId="0" xfId="2" applyFont="1" applyFill="1" applyAlignment="1">
      <alignment horizontal="right" vertical="center"/>
    </xf>
    <xf numFmtId="49" fontId="11" fillId="6" borderId="0" xfId="0" applyNumberFormat="1" applyFont="1" applyFill="1" applyAlignment="1">
      <alignment vertical="center"/>
    </xf>
    <xf numFmtId="49" fontId="11" fillId="6" borderId="0" xfId="0" applyNumberFormat="1" applyFont="1" applyFill="1" applyAlignment="1">
      <alignment horizontal="left" vertical="center"/>
    </xf>
    <xf numFmtId="49" fontId="11" fillId="6" borderId="0" xfId="0" applyNumberFormat="1" applyFont="1" applyFill="1" applyAlignment="1">
      <alignment horizontal="center"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left" vertical="center"/>
    </xf>
    <xf numFmtId="49" fontId="12" fillId="6" borderId="0" xfId="0" applyNumberFormat="1" applyFont="1" applyFill="1" applyAlignment="1">
      <alignment vertical="center"/>
    </xf>
    <xf numFmtId="0" fontId="13" fillId="5" borderId="0" xfId="0" applyFont="1" applyFill="1" applyAlignment="1">
      <alignment horizontal="left" vertical="center" indent="1"/>
    </xf>
    <xf numFmtId="0" fontId="14" fillId="5" borderId="0" xfId="0" applyFont="1" applyFill="1" applyAlignment="1">
      <alignment horizontal="left" vertical="center" indent="1"/>
    </xf>
    <xf numFmtId="169" fontId="11" fillId="6" borderId="0" xfId="0" applyNumberFormat="1" applyFont="1" applyFill="1" applyAlignment="1">
      <alignment vertical="center"/>
    </xf>
    <xf numFmtId="168" fontId="11" fillId="6" borderId="0" xfId="0" applyNumberFormat="1" applyFont="1" applyFill="1" applyAlignment="1">
      <alignment vertical="center"/>
    </xf>
    <xf numFmtId="170" fontId="2" fillId="2" borderId="3" xfId="0" applyNumberFormat="1" applyFont="1" applyFill="1" applyBorder="1"/>
    <xf numFmtId="170" fontId="2" fillId="4" borderId="3" xfId="0" applyNumberFormat="1" applyFont="1" applyFill="1" applyBorder="1" applyProtection="1">
      <protection locked="0"/>
    </xf>
    <xf numFmtId="1" fontId="2" fillId="2" borderId="3" xfId="0" applyNumberFormat="1" applyFont="1" applyFill="1" applyBorder="1"/>
    <xf numFmtId="49" fontId="15" fillId="6" borderId="0" xfId="0" applyNumberFormat="1" applyFont="1" applyFill="1" applyAlignment="1">
      <alignment vertical="center"/>
    </xf>
    <xf numFmtId="49" fontId="15" fillId="6" borderId="0" xfId="0" applyNumberFormat="1" applyFont="1" applyFill="1" applyAlignment="1">
      <alignment horizontal="right" vertical="center"/>
    </xf>
    <xf numFmtId="49" fontId="2" fillId="4" borderId="1" xfId="0" applyNumberFormat="1" applyFont="1" applyFill="1" applyBorder="1" applyAlignment="1" applyProtection="1">
      <alignment horizontal="left" vertical="top" indent="1"/>
      <protection locked="0"/>
    </xf>
    <xf numFmtId="0" fontId="2" fillId="2" borderId="0" xfId="0" applyFont="1" applyFill="1" applyAlignment="1">
      <alignment vertical="center"/>
    </xf>
    <xf numFmtId="165" fontId="2" fillId="4" borderId="1" xfId="0" applyNumberFormat="1" applyFont="1" applyFill="1" applyBorder="1" applyAlignment="1" applyProtection="1">
      <alignment horizontal="right" vertical="center"/>
      <protection locked="0"/>
    </xf>
    <xf numFmtId="0" fontId="8" fillId="2" borderId="0" xfId="0" applyFont="1" applyFill="1" applyAlignment="1">
      <alignment horizontal="center" vertical="center"/>
    </xf>
    <xf numFmtId="166" fontId="2" fillId="4" borderId="1" xfId="0" applyNumberFormat="1" applyFont="1" applyFill="1" applyBorder="1" applyAlignment="1" applyProtection="1">
      <alignment horizontal="right" vertical="center"/>
      <protection locked="0"/>
    </xf>
    <xf numFmtId="10" fontId="2" fillId="4" borderId="1" xfId="2" applyNumberFormat="1" applyFont="1" applyFill="1" applyBorder="1" applyAlignment="1" applyProtection="1">
      <alignment horizontal="right" vertical="center"/>
      <protection locked="0"/>
    </xf>
    <xf numFmtId="165" fontId="2" fillId="2" borderId="0" xfId="0" applyNumberFormat="1" applyFont="1" applyFill="1" applyAlignment="1">
      <alignment vertical="center"/>
    </xf>
    <xf numFmtId="49" fontId="2" fillId="4" borderId="1" xfId="0" applyNumberFormat="1" applyFont="1" applyFill="1" applyBorder="1" applyAlignment="1" applyProtection="1">
      <alignment horizontal="left" vertical="center"/>
      <protection locked="0"/>
    </xf>
    <xf numFmtId="164" fontId="2" fillId="4" borderId="1" xfId="0" applyNumberFormat="1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2">
    <dxf>
      <fill>
        <patternFill>
          <bgColor rgb="FFFFB7B7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B7B7"/>
      <color rgb="FFF1F7ED"/>
      <color rgb="FFFFFAF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180975</xdr:rowOff>
        </xdr:from>
        <xdr:to>
          <xdr:col>6</xdr:col>
          <xdr:colOff>57150</xdr:colOff>
          <xdr:row>8</xdr:row>
          <xdr:rowOff>9525</xdr:rowOff>
        </xdr:to>
        <xdr:sp macro="" textlink="">
          <xdr:nvSpPr>
            <xdr:cNvPr id="1031" name="btnSearc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DOBAVLJAČA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25</xdr:row>
          <xdr:rowOff>180975</xdr:rowOff>
        </xdr:from>
        <xdr:to>
          <xdr:col>3</xdr:col>
          <xdr:colOff>38100</xdr:colOff>
          <xdr:row>28</xdr:row>
          <xdr:rowOff>28575</xdr:rowOff>
        </xdr:to>
        <xdr:sp macro="" textlink="">
          <xdr:nvSpPr>
            <xdr:cNvPr id="1032" name="btnSearc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PRIJEME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3</xdr:row>
          <xdr:rowOff>95250</xdr:rowOff>
        </xdr:from>
        <xdr:to>
          <xdr:col>13</xdr:col>
          <xdr:colOff>409575</xdr:colOff>
          <xdr:row>4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FAKTURU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I24"/>
  <sheetViews>
    <sheetView topLeftCell="A3" zoomScaleNormal="100" workbookViewId="0">
      <selection activeCell="C25" sqref="C25"/>
    </sheetView>
  </sheetViews>
  <sheetFormatPr defaultColWidth="9.140625" defaultRowHeight="15" x14ac:dyDescent="0.25"/>
  <cols>
    <col min="1" max="1" width="3.7109375" style="1" customWidth="1"/>
    <col min="2" max="2" width="29.85546875" style="1" bestFit="1" customWidth="1"/>
    <col min="3" max="3" width="55" style="2" bestFit="1" customWidth="1"/>
    <col min="4" max="4" width="4.5703125" style="1" customWidth="1"/>
    <col min="5" max="5" width="15.85546875" style="1" bestFit="1" customWidth="1"/>
    <col min="6" max="6" width="11.42578125" style="1" bestFit="1" customWidth="1"/>
    <col min="7" max="8" width="9.140625" style="1"/>
    <col min="9" max="9" width="10.5703125" style="1" bestFit="1" customWidth="1"/>
    <col min="10" max="16384" width="9.140625" style="1"/>
  </cols>
  <sheetData>
    <row r="2" spans="1:9" x14ac:dyDescent="0.25">
      <c r="C2" s="4" t="s">
        <v>58</v>
      </c>
    </row>
    <row r="3" spans="1:9" s="41" customFormat="1" ht="24.95" customHeight="1" x14ac:dyDescent="0.25">
      <c r="A3" s="41" t="s">
        <v>9</v>
      </c>
      <c r="C3" s="42"/>
    </row>
    <row r="5" spans="1:9" x14ac:dyDescent="0.25">
      <c r="B5" s="1" t="s">
        <v>0</v>
      </c>
      <c r="C5" s="6" t="s">
        <v>55</v>
      </c>
    </row>
    <row r="7" spans="1:9" s="54" customFormat="1" ht="20.100000000000001" customHeight="1" x14ac:dyDescent="0.25">
      <c r="B7" s="54" t="s">
        <v>15</v>
      </c>
      <c r="C7" s="60" t="s">
        <v>59</v>
      </c>
    </row>
    <row r="8" spans="1:9" s="54" customFormat="1" ht="20.100000000000001" customHeight="1" x14ac:dyDescent="0.25">
      <c r="B8" s="54" t="s">
        <v>1</v>
      </c>
      <c r="C8" s="60" t="s">
        <v>60</v>
      </c>
      <c r="D8" s="62"/>
    </row>
    <row r="9" spans="1:9" x14ac:dyDescent="0.25">
      <c r="C9" s="1"/>
      <c r="D9" s="3"/>
    </row>
    <row r="10" spans="1:9" s="54" customFormat="1" ht="20.100000000000001" customHeight="1" x14ac:dyDescent="0.25">
      <c r="B10" s="54" t="s">
        <v>3</v>
      </c>
      <c r="C10" s="60"/>
    </row>
    <row r="11" spans="1:9" s="54" customFormat="1" ht="20.100000000000001" customHeight="1" x14ac:dyDescent="0.25">
      <c r="B11" s="54" t="s">
        <v>2</v>
      </c>
      <c r="C11" s="61"/>
      <c r="D11" s="62"/>
    </row>
    <row r="12" spans="1:9" s="54" customFormat="1" ht="20.100000000000001" customHeight="1" x14ac:dyDescent="0.25">
      <c r="B12" s="54" t="s">
        <v>4</v>
      </c>
      <c r="C12" s="61"/>
    </row>
    <row r="13" spans="1:9" x14ac:dyDescent="0.25">
      <c r="C13" s="1"/>
    </row>
    <row r="14" spans="1:9" x14ac:dyDescent="0.25">
      <c r="C14" s="6" t="s">
        <v>11</v>
      </c>
      <c r="D14" s="3"/>
      <c r="E14" s="6" t="s">
        <v>12</v>
      </c>
      <c r="F14" s="10" t="s">
        <v>16</v>
      </c>
    </row>
    <row r="15" spans="1:9" s="54" customFormat="1" ht="20.100000000000001" customHeight="1" x14ac:dyDescent="0.25">
      <c r="B15" s="54" t="s">
        <v>5</v>
      </c>
      <c r="C15" s="55">
        <v>221.29</v>
      </c>
      <c r="D15" s="56" t="s">
        <v>14</v>
      </c>
      <c r="E15" s="57">
        <f>ROUND(C15/7.5345,2)</f>
        <v>29.37</v>
      </c>
      <c r="F15" s="58">
        <f>E15/SUM($E$15:$E$18)</f>
        <v>1</v>
      </c>
      <c r="I15" s="59"/>
    </row>
    <row r="16" spans="1:9" s="54" customFormat="1" ht="20.100000000000001" customHeight="1" x14ac:dyDescent="0.25">
      <c r="B16" s="54" t="s">
        <v>7</v>
      </c>
      <c r="C16" s="55">
        <v>0</v>
      </c>
      <c r="D16" s="56" t="s">
        <v>14</v>
      </c>
      <c r="E16" s="57">
        <f t="shared" ref="E16" si="0">ROUND(C16/7.5345,2)</f>
        <v>0</v>
      </c>
      <c r="F16" s="58">
        <f t="shared" ref="F16:F18" si="1">E16/SUM($E$15:$E$18)</f>
        <v>0</v>
      </c>
    </row>
    <row r="17" spans="2:6" s="54" customFormat="1" ht="20.100000000000001" customHeight="1" x14ac:dyDescent="0.25">
      <c r="B17" s="54" t="s">
        <v>6</v>
      </c>
      <c r="C17" s="55">
        <v>0</v>
      </c>
      <c r="D17" s="56" t="s">
        <v>14</v>
      </c>
      <c r="E17" s="57">
        <f>ROUND(C17/7.5345,2)</f>
        <v>0</v>
      </c>
      <c r="F17" s="58">
        <f t="shared" si="1"/>
        <v>0</v>
      </c>
    </row>
    <row r="18" spans="2:6" s="54" customFormat="1" ht="20.100000000000001" customHeight="1" x14ac:dyDescent="0.25">
      <c r="B18" s="54" t="s">
        <v>36</v>
      </c>
      <c r="C18" s="55">
        <v>0</v>
      </c>
      <c r="D18" s="56" t="s">
        <v>14</v>
      </c>
      <c r="E18" s="57">
        <f>ROUND(C18/7.5345,2)</f>
        <v>0</v>
      </c>
      <c r="F18" s="58">
        <f t="shared" si="1"/>
        <v>0</v>
      </c>
    </row>
    <row r="19" spans="2:6" x14ac:dyDescent="0.25">
      <c r="C19" s="5"/>
      <c r="D19" s="8"/>
      <c r="E19" s="9"/>
      <c r="F19" s="9"/>
    </row>
    <row r="20" spans="2:6" s="54" customFormat="1" ht="20.100000000000001" customHeight="1" x14ac:dyDescent="0.25">
      <c r="B20" s="54" t="s">
        <v>8</v>
      </c>
      <c r="C20" s="55">
        <v>276.61</v>
      </c>
      <c r="D20" s="56" t="s">
        <v>14</v>
      </c>
      <c r="E20" s="57">
        <f>ROUND(C20/7.5345,2)</f>
        <v>36.71</v>
      </c>
    </row>
    <row r="21" spans="2:6" x14ac:dyDescent="0.25">
      <c r="D21" s="8"/>
    </row>
    <row r="22" spans="2:6" ht="50.1" customHeight="1" x14ac:dyDescent="0.25">
      <c r="B22" s="7" t="s">
        <v>13</v>
      </c>
      <c r="C22" s="53"/>
      <c r="D22" s="11" t="s">
        <v>17</v>
      </c>
      <c r="E22" s="12" t="s">
        <v>30</v>
      </c>
    </row>
    <row r="24" spans="2:6" ht="50.1" customHeight="1" x14ac:dyDescent="0.25">
      <c r="B24" s="7" t="s">
        <v>53</v>
      </c>
      <c r="C24" s="53" t="s">
        <v>61</v>
      </c>
      <c r="D24" s="11" t="s">
        <v>17</v>
      </c>
      <c r="E24" s="12" t="s">
        <v>54</v>
      </c>
    </row>
  </sheetData>
  <sheetProtection sheet="1" sort="0" autoFilter="0"/>
  <dataValidations count="1">
    <dataValidation type="date" allowBlank="1" showInputMessage="1" showErrorMessage="1" sqref="C11:C13" xr:uid="{88E9D7CF-AAAD-4DB2-8C1A-33E19149235A}">
      <formula1>44562</formula1>
      <formula2>54788</formula2>
    </dataValidation>
  </dataValidations>
  <pageMargins left="0.7" right="0.7" top="0.75" bottom="0.75" header="0.3" footer="0.3"/>
  <pageSetup paperSize="9" orientation="portrait" r:id="rId1"/>
  <ignoredErrors>
    <ignoredError sqref="E16:E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19050</xdr:colOff>
                    <xdr:row>6</xdr:row>
                    <xdr:rowOff>180975</xdr:rowOff>
                  </from>
                  <to>
                    <xdr:col>6</xdr:col>
                    <xdr:colOff>57150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loadReceptions">
                <anchor moveWithCells="1" sizeWithCells="1">
                  <from>
                    <xdr:col>1</xdr:col>
                    <xdr:colOff>171450</xdr:colOff>
                    <xdr:row>25</xdr:row>
                    <xdr:rowOff>180975</xdr:rowOff>
                  </from>
                  <to>
                    <xdr:col>3</xdr:col>
                    <xdr:colOff>38100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87B1D-307B-4C55-8A18-DD33EA7CD895}">
  <sheetPr codeName="Sheet3">
    <tabColor rgb="FFFFC000"/>
  </sheetPr>
  <dimension ref="A1:Z14"/>
  <sheetViews>
    <sheetView tabSelected="1" topLeftCell="D1" zoomScale="87" zoomScaleNormal="87" workbookViewId="0">
      <pane ySplit="6" topLeftCell="A7" activePane="bottomLeft" state="frozen"/>
      <selection pane="bottomLeft" activeCell="R15" sqref="R15"/>
    </sheetView>
  </sheetViews>
  <sheetFormatPr defaultColWidth="9.140625" defaultRowHeight="15" x14ac:dyDescent="0.25"/>
  <cols>
    <col min="1" max="1" width="3.7109375" style="1" customWidth="1"/>
    <col min="2" max="2" width="22.28515625" style="21" customWidth="1"/>
    <col min="3" max="3" width="20" style="22" bestFit="1" customWidth="1"/>
    <col min="4" max="4" width="15.7109375" style="23" bestFit="1" customWidth="1"/>
    <col min="5" max="5" width="19.7109375" style="23" bestFit="1" customWidth="1"/>
    <col min="6" max="6" width="24.5703125" style="23" bestFit="1" customWidth="1"/>
    <col min="7" max="7" width="14.42578125" style="23" bestFit="1" customWidth="1"/>
    <col min="8" max="8" width="6.140625" style="23" bestFit="1" customWidth="1"/>
    <col min="9" max="9" width="8.7109375" style="23" customWidth="1"/>
    <col min="10" max="10" width="10.28515625" style="23" bestFit="1" customWidth="1"/>
    <col min="11" max="11" width="32.28515625" style="23" bestFit="1" customWidth="1"/>
    <col min="12" max="12" width="13.85546875" style="23" bestFit="1" customWidth="1"/>
    <col min="13" max="13" width="19.85546875" style="23" bestFit="1" customWidth="1"/>
    <col min="14" max="14" width="13.42578125" style="50" bestFit="1" customWidth="1"/>
    <col min="15" max="15" width="15.42578125" style="48" customWidth="1"/>
    <col min="16" max="16" width="15.7109375" style="49" bestFit="1" customWidth="1"/>
    <col min="17" max="17" width="17" style="24" bestFit="1" customWidth="1"/>
    <col min="18" max="18" width="15.85546875" style="25" bestFit="1" customWidth="1"/>
    <col min="19" max="19" width="19.140625" style="29" bestFit="1" customWidth="1"/>
    <col min="20" max="20" width="19" style="24" bestFit="1" customWidth="1"/>
    <col min="21" max="21" width="15" style="48" bestFit="1" customWidth="1"/>
    <col min="22" max="22" width="15.140625" style="25" bestFit="1" customWidth="1"/>
    <col min="23" max="23" width="15.85546875" style="24" bestFit="1" customWidth="1"/>
    <col min="24" max="24" width="15.5703125" style="25" bestFit="1" customWidth="1"/>
    <col min="25" max="25" width="16.7109375" style="26" bestFit="1" customWidth="1"/>
    <col min="26" max="16384" width="9.140625" style="1"/>
  </cols>
  <sheetData>
    <row r="1" spans="1:26" x14ac:dyDescent="0.25"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7"/>
      <c r="O1" s="17"/>
      <c r="P1" s="19"/>
      <c r="Q1" s="15"/>
      <c r="R1" s="15"/>
      <c r="S1" s="19"/>
      <c r="T1" s="17"/>
      <c r="U1" s="27"/>
      <c r="V1" s="19"/>
      <c r="W1" s="27"/>
      <c r="X1" s="27"/>
      <c r="Y1" s="19"/>
    </row>
    <row r="2" spans="1:26" x14ac:dyDescent="0.25">
      <c r="B2" s="1"/>
      <c r="C2" s="4" t="s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7"/>
      <c r="O2" s="17"/>
      <c r="P2" s="19"/>
      <c r="Q2" s="15"/>
      <c r="R2" s="15"/>
      <c r="S2" s="19"/>
      <c r="T2" s="17"/>
      <c r="U2" s="27"/>
      <c r="V2" s="19"/>
      <c r="W2" s="27"/>
      <c r="X2" s="27"/>
      <c r="Y2" s="19"/>
    </row>
    <row r="3" spans="1:26" s="38" customFormat="1" ht="27.6" customHeight="1" x14ac:dyDescent="0.25">
      <c r="A3" s="38" t="s">
        <v>18</v>
      </c>
      <c r="C3" s="39"/>
      <c r="E3" s="52" t="s">
        <v>51</v>
      </c>
      <c r="F3" s="52" t="s">
        <v>52</v>
      </c>
      <c r="G3" s="52" t="s">
        <v>44</v>
      </c>
      <c r="H3" s="43"/>
      <c r="I3" s="51" t="s">
        <v>47</v>
      </c>
      <c r="K3" s="52" t="s">
        <v>50</v>
      </c>
      <c r="L3" s="40">
        <v>700</v>
      </c>
      <c r="M3" s="38" t="s">
        <v>56</v>
      </c>
      <c r="N3" s="38">
        <v>1</v>
      </c>
      <c r="O3" s="51" t="s">
        <v>48</v>
      </c>
      <c r="X3" s="46"/>
      <c r="Y3" s="47"/>
    </row>
    <row r="4" spans="1:26" s="30" customFormat="1" ht="24.75" customHeight="1" x14ac:dyDescent="0.25">
      <c r="B4" s="44" t="s">
        <v>35</v>
      </c>
      <c r="C4" s="31"/>
      <c r="D4" s="31"/>
      <c r="E4" s="32">
        <f>SUM('01 UNOS FAKTURE &gt;'!E15:E17)</f>
        <v>29.37</v>
      </c>
      <c r="F4" s="32">
        <f>SUM($Y:$Y)</f>
        <v>27.839999999999996</v>
      </c>
      <c r="G4" s="32">
        <f>F4-E4</f>
        <v>-1.5300000000000047</v>
      </c>
      <c r="H4" s="31"/>
      <c r="I4" s="32">
        <v>1.3</v>
      </c>
      <c r="J4" s="31"/>
      <c r="K4" s="31"/>
      <c r="L4" s="31"/>
      <c r="M4" s="31"/>
      <c r="N4" s="33"/>
      <c r="O4" s="37">
        <v>0.25</v>
      </c>
      <c r="P4" s="37">
        <v>0.13</v>
      </c>
      <c r="Q4" s="37">
        <v>0.05</v>
      </c>
      <c r="R4" s="37">
        <v>0</v>
      </c>
      <c r="S4" s="34"/>
      <c r="T4" s="33"/>
      <c r="U4" s="36"/>
      <c r="V4" s="34"/>
      <c r="W4" s="36"/>
      <c r="X4" s="36"/>
      <c r="Y4" s="34"/>
    </row>
    <row r="5" spans="1:26" s="30" customFormat="1" ht="24.75" customHeight="1" x14ac:dyDescent="0.25">
      <c r="B5" s="45" t="s">
        <v>34</v>
      </c>
      <c r="C5" s="31"/>
      <c r="D5" s="31"/>
      <c r="E5" s="35">
        <f>SUM('01 UNOS FAKTURE &gt;'!C15:C17)</f>
        <v>221.29</v>
      </c>
      <c r="F5" s="35">
        <f>SUM($X:$X)</f>
        <v>209.78</v>
      </c>
      <c r="G5" s="35">
        <f>F5-E5</f>
        <v>-11.509999999999991</v>
      </c>
      <c r="H5" s="31"/>
      <c r="I5" s="31"/>
      <c r="J5" s="31"/>
      <c r="K5" s="31"/>
      <c r="L5" s="31"/>
      <c r="M5" s="31"/>
      <c r="N5" s="33"/>
      <c r="O5" s="32">
        <f>SUMIF($N:$N,O4*100,$Y:$Y)</f>
        <v>27.839999999999996</v>
      </c>
      <c r="P5" s="32">
        <f>SUMIF($N:$N,P4*100,$Y:$Y)</f>
        <v>0</v>
      </c>
      <c r="Q5" s="32">
        <f>SUMIF($N:$N,Q4*100,$Y:$Y)</f>
        <v>0</v>
      </c>
      <c r="R5" s="32">
        <f>SUMIF($N:$N,R4*100,$Y:$Y)</f>
        <v>0</v>
      </c>
      <c r="S5" s="34"/>
      <c r="T5" s="33"/>
      <c r="U5" s="36"/>
      <c r="V5" s="34"/>
      <c r="W5" s="36"/>
      <c r="X5" s="36"/>
      <c r="Y5" s="34"/>
    </row>
    <row r="6" spans="1:26" s="13" customFormat="1" x14ac:dyDescent="0.25">
      <c r="B6" s="14" t="s">
        <v>19</v>
      </c>
      <c r="C6" s="14" t="s">
        <v>49</v>
      </c>
      <c r="D6" s="14" t="s">
        <v>20</v>
      </c>
      <c r="E6" s="14" t="s">
        <v>21</v>
      </c>
      <c r="F6" s="14" t="s">
        <v>39</v>
      </c>
      <c r="G6" s="14" t="s">
        <v>31</v>
      </c>
      <c r="H6" s="14" t="s">
        <v>22</v>
      </c>
      <c r="I6" s="14" t="s">
        <v>23</v>
      </c>
      <c r="J6" s="14" t="s">
        <v>24</v>
      </c>
      <c r="K6" s="14" t="s">
        <v>25</v>
      </c>
      <c r="L6" s="14" t="s">
        <v>27</v>
      </c>
      <c r="M6" s="14" t="s">
        <v>28</v>
      </c>
      <c r="N6" s="14" t="s">
        <v>29</v>
      </c>
      <c r="O6" s="18" t="s">
        <v>38</v>
      </c>
      <c r="P6" s="18" t="s">
        <v>37</v>
      </c>
      <c r="Q6" s="20" t="s">
        <v>32</v>
      </c>
      <c r="R6" s="16" t="s">
        <v>40</v>
      </c>
      <c r="S6" s="16" t="s">
        <v>26</v>
      </c>
      <c r="T6" s="20" t="s">
        <v>33</v>
      </c>
      <c r="U6" s="18" t="s">
        <v>41</v>
      </c>
      <c r="V6" s="28" t="s">
        <v>42</v>
      </c>
      <c r="W6" s="20" t="s">
        <v>43</v>
      </c>
      <c r="X6" s="28" t="s">
        <v>46</v>
      </c>
      <c r="Y6" s="20" t="s">
        <v>45</v>
      </c>
    </row>
    <row r="7" spans="1:26" x14ac:dyDescent="0.25">
      <c r="B7" s="21" t="s">
        <v>62</v>
      </c>
      <c r="C7" s="22" t="s">
        <v>61</v>
      </c>
      <c r="D7" s="23" t="s">
        <v>63</v>
      </c>
      <c r="E7" s="23" t="s">
        <v>64</v>
      </c>
      <c r="F7" s="23" t="s">
        <v>63</v>
      </c>
      <c r="G7" s="23" t="s">
        <v>63</v>
      </c>
      <c r="H7" s="23">
        <v>0</v>
      </c>
      <c r="I7" s="23">
        <v>1</v>
      </c>
      <c r="J7" s="23" t="s">
        <v>65</v>
      </c>
      <c r="K7" s="23" t="s">
        <v>66</v>
      </c>
      <c r="L7" s="23">
        <v>3</v>
      </c>
      <c r="M7" s="23" t="s">
        <v>57</v>
      </c>
      <c r="N7" s="50">
        <v>25</v>
      </c>
      <c r="O7" s="48">
        <v>14</v>
      </c>
      <c r="P7" s="49">
        <v>14</v>
      </c>
      <c r="Q7" s="24">
        <v>0.96489999999999998</v>
      </c>
      <c r="R7" s="25">
        <v>7.27</v>
      </c>
      <c r="S7" s="29">
        <v>7.27</v>
      </c>
      <c r="T7" s="24">
        <f>ROUND(S7/7.5345,2)</f>
        <v>0.96</v>
      </c>
      <c r="U7" s="48">
        <f>O7-P7</f>
        <v>0</v>
      </c>
      <c r="V7" s="25">
        <f>R7-S7</f>
        <v>0</v>
      </c>
      <c r="W7" s="24">
        <f>Q7-T7</f>
        <v>4.9000000000000155E-3</v>
      </c>
      <c r="X7" s="25">
        <f>P7*S7</f>
        <v>101.78</v>
      </c>
      <c r="Y7" s="26">
        <f>P7*T7</f>
        <v>13.44</v>
      </c>
      <c r="Z7" s="19"/>
    </row>
    <row r="8" spans="1:26" x14ac:dyDescent="0.25">
      <c r="B8" s="21" t="s">
        <v>62</v>
      </c>
      <c r="C8" s="22" t="s">
        <v>61</v>
      </c>
      <c r="D8" s="23" t="s">
        <v>67</v>
      </c>
      <c r="E8" s="23" t="s">
        <v>68</v>
      </c>
      <c r="F8" s="23" t="s">
        <v>69</v>
      </c>
      <c r="G8" s="23" t="s">
        <v>67</v>
      </c>
      <c r="H8" s="23">
        <v>0</v>
      </c>
      <c r="I8" s="23">
        <v>1</v>
      </c>
      <c r="J8" s="23" t="s">
        <v>65</v>
      </c>
      <c r="K8" s="23" t="s">
        <v>70</v>
      </c>
      <c r="L8" s="23">
        <v>3</v>
      </c>
      <c r="M8" s="23" t="s">
        <v>57</v>
      </c>
      <c r="N8" s="50">
        <v>25</v>
      </c>
      <c r="O8" s="48">
        <v>20</v>
      </c>
      <c r="P8" s="49">
        <v>20</v>
      </c>
      <c r="Q8" s="24">
        <v>0.7167</v>
      </c>
      <c r="R8" s="25">
        <v>5.4</v>
      </c>
      <c r="S8" s="29">
        <v>5.4</v>
      </c>
      <c r="T8" s="24">
        <f>ROUND(S8/7.5345,2)</f>
        <v>0.72</v>
      </c>
      <c r="U8" s="48">
        <f>O8-P8</f>
        <v>0</v>
      </c>
      <c r="V8" s="25">
        <f>R8-S8</f>
        <v>0</v>
      </c>
      <c r="W8" s="24">
        <f>Q8-T8</f>
        <v>-3.2999999999999696E-3</v>
      </c>
      <c r="X8" s="25">
        <f>P8*S8</f>
        <v>108</v>
      </c>
      <c r="Y8" s="26">
        <f>P8*T8</f>
        <v>14.399999999999999</v>
      </c>
      <c r="Z8" s="19"/>
    </row>
    <row r="9" spans="1:26" x14ac:dyDescent="0.25">
      <c r="Z9" s="19"/>
    </row>
    <row r="10" spans="1:26" x14ac:dyDescent="0.25">
      <c r="Z10" s="19"/>
    </row>
    <row r="11" spans="1:26" x14ac:dyDescent="0.25">
      <c r="Z11" s="19"/>
    </row>
    <row r="12" spans="1:26" x14ac:dyDescent="0.25">
      <c r="Z12" s="19"/>
    </row>
    <row r="13" spans="1:26" x14ac:dyDescent="0.25">
      <c r="Z13" s="19"/>
    </row>
    <row r="14" spans="1:26" x14ac:dyDescent="0.25">
      <c r="Z14" s="19"/>
    </row>
  </sheetData>
  <sheetProtection sheet="1" sort="0" autoFilter="0"/>
  <autoFilter ref="B6:Y14" xr:uid="{15287B1D-307B-4C55-8A18-DD33EA7CD895}"/>
  <conditionalFormatting sqref="B4:Y5">
    <cfRule type="expression" dxfId="1" priority="1">
      <formula>ABS($G$4)&lt;=$I$4</formula>
    </cfRule>
    <cfRule type="expression" dxfId="0" priority="2">
      <formula>ABS($G$4)&gt;$I$4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Invoice">
                <anchor moveWithCells="1" sizeWithCells="1">
                  <from>
                    <xdr:col>9</xdr:col>
                    <xdr:colOff>171450</xdr:colOff>
                    <xdr:row>3</xdr:row>
                    <xdr:rowOff>95250</xdr:rowOff>
                  </from>
                  <to>
                    <xdr:col>13</xdr:col>
                    <xdr:colOff>409575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D40E0F-7776-4A83-B474-FB4E28B41E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UNOS FAKTURE &gt;</vt:lpstr>
      <vt:lpstr>02 OBJAŠNJAVANJE RAZLIKA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2023-01-10T12:59:35Z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