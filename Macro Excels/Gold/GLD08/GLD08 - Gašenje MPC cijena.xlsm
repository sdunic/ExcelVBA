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"/>
    </mc:Choice>
  </mc:AlternateContent>
  <xr:revisionPtr revIDLastSave="0" documentId="13_ncr:1_{8838B842-C1B0-4117-8ED8-52F9479E22CD}" xr6:coauthVersionLast="47" xr6:coauthVersionMax="47" xr10:uidLastSave="{00000000-0000-0000-0000-000000000000}"/>
  <bookViews>
    <workbookView xWindow="-120" yWindow="-120" windowWidth="32640" windowHeight="19770" activeTab="1" xr2:uid="{00000000-000D-0000-FFFF-FFFF00000000}"/>
  </bookViews>
  <sheets>
    <sheet name="01 Dohvat MPC cijena &gt;" sheetId="3" r:id="rId1"/>
    <sheet name="02 Pregled i gašenje MPC cijena" sheetId="2" r:id="rId2"/>
  </sheets>
  <functionGroups builtInGroupCount="19"/>
  <definedNames>
    <definedName name="_xlnm._FilterDatabase" localSheetId="1" hidden="1">'02 Pregled i gašenje MPC cijena'!$B$4:$W$4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<sst xmlns="http://schemas.openxmlformats.org/spreadsheetml/2006/main" count="366" uniqueCount="143">
  <si>
    <t>Korisnik</t>
  </si>
  <si>
    <t>dunic.stefan</t>
  </si>
  <si>
    <t>Šifra artikla</t>
  </si>
  <si>
    <t>Barkod artikla</t>
  </si>
  <si>
    <t>Naziv artikla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</si>
  <si>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</si>
  <si>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</si>
  <si>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</si>
  <si>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</si>
  <si>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</si>
  <si>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</si>
  <si>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</si>
  <si>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</si>
  <si>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</si>
  <si>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</si>
  <si>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Porezna grupa</t>
  </si>
  <si>
    <t>CEXV</t>
  </si>
  <si>
    <t>Robni čvor</t>
  </si>
  <si>
    <t>Datum od</t>
  </si>
  <si>
    <t>Datum do</t>
  </si>
  <si>
    <t>Oznaka cjenika</t>
  </si>
  <si>
    <t>Cijena</t>
  </si>
  <si>
    <t>01 DOHVAT MPC CIJENA &gt;</t>
  </si>
  <si>
    <t>v 1.00</t>
  </si>
  <si>
    <t>Cjenik</t>
  </si>
  <si>
    <t>CINV</t>
  </si>
  <si>
    <t>Naziv cjenika</t>
  </si>
  <si>
    <t>Artikl</t>
  </si>
  <si>
    <t>NAPOMENE</t>
  </si>
  <si>
    <t>&lt; dodatan filter na početni odabir</t>
  </si>
  <si>
    <t>&lt; dohvaća cijene za sve artikle u cjeniku na datum i sve buduće datume</t>
  </si>
  <si>
    <t>&lt; dohvaća sve cijene za određeni artikl na datum i sve buduće datume</t>
  </si>
  <si>
    <t>10</t>
  </si>
  <si>
    <t>SVJEŽI ODJELI</t>
  </si>
  <si>
    <t>UGASITI CIJENU</t>
  </si>
  <si>
    <t>02 PREGLED I GAŠENJE MPC CIJENA</t>
  </si>
  <si>
    <t>NE</t>
  </si>
  <si>
    <t>7200 - KATALOG</t>
  </si>
  <si>
    <t>KATALOG</t>
  </si>
  <si>
    <t>10000029</t>
  </si>
  <si>
    <t>290322</t>
  </si>
  <si>
    <t>NARANČA</t>
  </si>
  <si>
    <t>1010</t>
  </si>
  <si>
    <t>VOĆE I POVRĆE</t>
  </si>
  <si>
    <t>101010</t>
  </si>
  <si>
    <t>VOĆE</t>
  </si>
  <si>
    <t>10101010</t>
  </si>
  <si>
    <t>VOĆE SVJEŽE</t>
  </si>
  <si>
    <t>1010101025</t>
  </si>
  <si>
    <t>10000111</t>
  </si>
  <si>
    <t>290273</t>
  </si>
  <si>
    <t>ORAH JEZGRA RFS</t>
  </si>
  <si>
    <t>10101020</t>
  </si>
  <si>
    <t>VOĆE ORAŠASTO I SUŠENO RINF.</t>
  </si>
  <si>
    <t>1010102020</t>
  </si>
  <si>
    <t>SUHO I SUŠENO VOĆE - ORAH</t>
  </si>
  <si>
    <t>10000192</t>
  </si>
  <si>
    <t>290738</t>
  </si>
  <si>
    <t>KUPUS MLADI</t>
  </si>
  <si>
    <t>101020</t>
  </si>
  <si>
    <t>POVRĆE</t>
  </si>
  <si>
    <t>10102010</t>
  </si>
  <si>
    <t>POVRĆE SVJEŽE</t>
  </si>
  <si>
    <t>1010201060</t>
  </si>
  <si>
    <t>KUPUS SVJEŽI</t>
  </si>
  <si>
    <t>10000277</t>
  </si>
  <si>
    <t>134</t>
  </si>
  <si>
    <t>AVOKADO SVJ.(KOM)</t>
  </si>
  <si>
    <t>1010101050</t>
  </si>
  <si>
    <t xml:space="preserve">AVOKADO </t>
  </si>
  <si>
    <t>10000304</t>
  </si>
  <si>
    <t>3859889267182</t>
  </si>
  <si>
    <t>RAJČICA TERNETTO 250 g</t>
  </si>
  <si>
    <t>1010201036</t>
  </si>
  <si>
    <t>RAJČICE PAKIRANE</t>
  </si>
  <si>
    <t>10000365</t>
  </si>
  <si>
    <t>186</t>
  </si>
  <si>
    <t>ANANAS KOM.</t>
  </si>
  <si>
    <t>1010101045</t>
  </si>
  <si>
    <t>ANANAS</t>
  </si>
  <si>
    <t>10000651</t>
  </si>
  <si>
    <t>3858893252788</t>
  </si>
  <si>
    <t>MATOVILAC 100 g</t>
  </si>
  <si>
    <t>1010201058</t>
  </si>
  <si>
    <t>SALATE PAKIRANE</t>
  </si>
  <si>
    <t>10000811</t>
  </si>
  <si>
    <t>290844</t>
  </si>
  <si>
    <t>KELJ VERZET</t>
  </si>
  <si>
    <t>1010201066</t>
  </si>
  <si>
    <t>KELJ</t>
  </si>
  <si>
    <t>10000875</t>
  </si>
  <si>
    <t>3858893250494</t>
  </si>
  <si>
    <t>ŠPINAT 400 g FRAGARIA</t>
  </si>
  <si>
    <t>1010201074</t>
  </si>
  <si>
    <t>ŠPINAT</t>
  </si>
  <si>
    <t>10001430</t>
  </si>
  <si>
    <t>8012566013686</t>
  </si>
  <si>
    <t>SALATA PAK.MISTICANZA 100 g GBR</t>
  </si>
  <si>
    <t>10001829</t>
  </si>
  <si>
    <t>3858892942031</t>
  </si>
  <si>
    <t>BOROVNICA PAK. 250 g</t>
  </si>
  <si>
    <t>1010101082</t>
  </si>
  <si>
    <t>OSTALO BOBIČASTO I JAGODIČASTO VOĆE</t>
  </si>
  <si>
    <t>10001917</t>
  </si>
  <si>
    <t>3859889267991</t>
  </si>
  <si>
    <t>RAJČICA PAPELETTO 400g</t>
  </si>
  <si>
    <t>10002802</t>
  </si>
  <si>
    <t>291576</t>
  </si>
  <si>
    <t>JABUKA CRVENI DELIŠES</t>
  </si>
  <si>
    <t>1010101015</t>
  </si>
  <si>
    <t>JABUKA</t>
  </si>
  <si>
    <t>10004861</t>
  </si>
  <si>
    <t>293285</t>
  </si>
  <si>
    <t>NARANČA SNIŽENO</t>
  </si>
  <si>
    <t>10005892</t>
  </si>
  <si>
    <t>188</t>
  </si>
  <si>
    <t>ANANAS KOM.SNIŽENO</t>
  </si>
  <si>
    <t>10029952</t>
  </si>
  <si>
    <t>290330</t>
  </si>
  <si>
    <t>JABUKA BRAEBURN</t>
  </si>
  <si>
    <t>10029965</t>
  </si>
  <si>
    <t>3856003907184</t>
  </si>
  <si>
    <t>NARANČA PAKIRANA 2/1</t>
  </si>
  <si>
    <t>10029967</t>
  </si>
  <si>
    <t>3858892940389</t>
  </si>
  <si>
    <t>ŠPAROGE SVJ. 500 g</t>
  </si>
  <si>
    <t>1010201086</t>
  </si>
  <si>
    <t>ŠPAROGE</t>
  </si>
  <si>
    <t>10058839</t>
  </si>
  <si>
    <t>290336</t>
  </si>
  <si>
    <t>JABUKA BRAEBURN SNIŽENO</t>
  </si>
  <si>
    <t>10058875</t>
  </si>
  <si>
    <t>290089</t>
  </si>
  <si>
    <t>JABUKA CRVENI DELIŠES SNIŽENO</t>
  </si>
  <si>
    <t>10402127</t>
  </si>
  <si>
    <t>3858892941232</t>
  </si>
  <si>
    <t>ŠAMPINJONI SVJ. 500 g</t>
  </si>
  <si>
    <t>1010201095</t>
  </si>
  <si>
    <t>GLJIVE</t>
  </si>
  <si>
    <t>10405739</t>
  </si>
  <si>
    <t>1721</t>
  </si>
  <si>
    <t>AVOKADO SVJ.(KOM) SNIŽENO</t>
  </si>
  <si>
    <t>1010 - VOĆE I POVRĆE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</si>
</sst>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5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charset val="238"/>
      <scheme val="minor"/>
    </font>
    <font>
      <sz val="11"/>
      <color theme="1" tint="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</borders>
  <cellStyleXfs count="2">
    <xf numFmtId="0" fontId="0" fillId="0" borderId="0"/>
    <xf numFmtId="0" fontId="1" fillId="0" borderId="0"/>
  </cellStyleXfs>
  <cellXfs count="44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3" fillId="5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/>
    <xf numFmtId="0" fontId="3" fillId="5" borderId="1" xfId="0" applyFont="1" applyFill="1" applyBorder="1" applyAlignment="1">
      <alignment horizontal="left" indent="1"/>
    </xf>
    <xf numFmtId="0" fontId="7" fillId="2" borderId="0" xfId="0" applyFont="1" applyFill="1" applyAlignment="1">
      <alignment horizontal="right"/>
    </xf>
    <xf numFmtId="0" fontId="7" fillId="5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9" fillId="2" borderId="0" xfId="0" applyFont="1" applyFill="1" applyAlignment="1">
      <alignment horizontal="left" indent="1"/>
    </xf>
    <xf numFmtId="49" fontId="3" fillId="4" borderId="1" xfId="0" applyNumberFormat="1" applyFont="1" applyFill="1" applyBorder="1" applyAlignment="1" applyProtection="1">
      <alignment horizontal="left" indent="1"/>
      <protection locked="0"/>
    </xf>
    <xf numFmtId="49" fontId="3" fillId="2" borderId="0" xfId="0" applyNumberFormat="1" applyFont="1" applyFill="1"/>
    <xf numFmtId="0" fontId="10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/>
    </xf>
    <xf numFmtId="2" fontId="3" fillId="2" borderId="0" xfId="0" applyNumberFormat="1" applyFont="1" applyFill="1" applyAlignment="1">
      <alignment shrinkToFit="1"/>
    </xf>
    <xf numFmtId="2" fontId="3" fillId="5" borderId="0" xfId="0" applyNumberFormat="1" applyFont="1" applyFill="1" applyAlignment="1">
      <alignment horizontal="left" shrinkToFit="1"/>
    </xf>
    <xf numFmtId="0" fontId="6" fillId="2" borderId="0" xfId="0" applyFont="1" applyFill="1" applyAlignment="1">
      <alignment horizontal="left"/>
    </xf>
    <xf numFmtId="0" fontId="11" fillId="2" borderId="0" xfId="0" applyFont="1" applyFill="1"/>
    <xf numFmtId="0" fontId="11" fillId="2" borderId="0" xfId="0" applyFont="1" applyFill="1" applyAlignment="1">
      <alignment horizontal="left"/>
    </xf>
    <xf numFmtId="2" fontId="11" fillId="2" borderId="0" xfId="0" applyNumberFormat="1" applyFont="1" applyFill="1" applyAlignment="1">
      <alignment shrinkToFit="1"/>
    </xf>
    <xf numFmtId="49" fontId="3" fillId="4" borderId="1" xfId="0" applyNumberFormat="1" applyFont="1" applyFill="1" applyBorder="1" applyAlignment="1" applyProtection="1">
      <alignment horizontal="left" indent="1" shrinkToFit="1"/>
      <protection locked="0"/>
    </xf>
    <xf numFmtId="14" fontId="11" fillId="2" borderId="0" xfId="0" applyNumberFormat="1" applyFont="1" applyFill="1"/>
    <xf numFmtId="0" fontId="11" fillId="2" borderId="0" xfId="0" applyFont="1" applyFill="1" applyAlignment="1">
      <alignment horizontal="center"/>
    </xf>
    <xf numFmtId="49" fontId="5" fillId="6" borderId="0" xfId="0" applyNumberFormat="1" applyFont="1" applyFill="1"/>
    <xf numFmtId="49" fontId="5" fillId="6" borderId="0" xfId="0" applyNumberFormat="1" applyFont="1" applyFill="1" applyAlignment="1">
      <alignment horizontal="left"/>
    </xf>
    <xf numFmtId="2" fontId="5" fillId="6" borderId="0" xfId="0" applyNumberFormat="1" applyFont="1" applyFill="1" applyAlignment="1">
      <alignment shrinkToFit="1"/>
    </xf>
    <xf numFmtId="49" fontId="5" fillId="6" borderId="0" xfId="0" applyNumberFormat="1" applyFont="1" applyFill="1" applyAlignment="1">
      <alignment horizontal="center"/>
    </xf>
    <xf numFmtId="49" fontId="8" fillId="6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center"/>
    </xf>
    <xf numFmtId="49" fontId="8" fillId="6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12" fillId="5" borderId="0" xfId="0" applyFont="1" applyFill="1"/>
    <xf numFmtId="0" fontId="12" fillId="5" borderId="0" xfId="0" applyFont="1" applyFill="1" applyAlignment="1">
      <alignment horizontal="left"/>
    </xf>
    <xf numFmtId="2" fontId="12" fillId="5" borderId="0" xfId="0" applyNumberFormat="1" applyFont="1" applyFill="1" applyAlignment="1">
      <alignment shrinkToFit="1"/>
    </xf>
    <xf numFmtId="14" fontId="12" fillId="5" borderId="0" xfId="0" applyNumberFormat="1" applyFont="1" applyFill="1"/>
    <xf numFmtId="0" fontId="12" fillId="5" borderId="0" xfId="0" applyFont="1" applyFill="1" applyAlignment="1">
      <alignment horizontal="center"/>
    </xf>
    <xf numFmtId="164" fontId="3" fillId="2" borderId="0" xfId="0" applyNumberFormat="1" applyFont="1" applyFill="1"/>
    <xf numFmtId="164" fontId="5" fillId="6" borderId="0" xfId="0" applyNumberFormat="1" applyFont="1" applyFill="1"/>
    <xf numFmtId="164" fontId="3" fillId="5" borderId="0" xfId="0" applyNumberFormat="1" applyFont="1" applyFill="1" applyAlignment="1">
      <alignment horizontal="left"/>
    </xf>
    <xf numFmtId="164" fontId="12" fillId="5" borderId="0" xfId="0" applyNumberFormat="1" applyFont="1" applyFill="1"/>
    <xf numFmtId="164" fontId="11" fillId="2" borderId="0" xfId="0" applyNumberFormat="1" applyFont="1" applyFill="1"/>
  </cellXfs>
  <cellStyles count="2">
    <cellStyle name="Excel Built-in Normal" xfId="1" xr:uid="{00000000-0005-0000-0000-000000000000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14</xdr:row>
          <xdr:rowOff>95250</xdr:rowOff>
        </xdr:from>
        <xdr:to>
          <xdr:col>2</xdr:col>
          <xdr:colOff>3667125</xdr:colOff>
          <xdr:row>17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CIJENE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123825</xdr:rowOff>
        </xdr:from>
        <xdr:to>
          <xdr:col>6</xdr:col>
          <xdr:colOff>476250</xdr:colOff>
          <xdr:row>5</xdr:row>
          <xdr:rowOff>57150</xdr:rowOff>
        </xdr:to>
        <xdr:sp macro="" textlink="">
          <xdr:nvSpPr>
            <xdr:cNvPr id="1029" name="btn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PARAMETARA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28575</xdr:rowOff>
        </xdr:from>
        <xdr:to>
          <xdr:col>4</xdr:col>
          <xdr:colOff>2657475</xdr:colOff>
          <xdr:row>1</xdr:row>
          <xdr:rowOff>161925</xdr:rowOff>
        </xdr:to>
        <xdr:sp macro="" textlink="">
          <xdr:nvSpPr>
            <xdr:cNvPr id="2053" name="btnSearch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UGASI ODABRANE CIJENE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D20"/>
  <sheetViews>
    <sheetView workbookViewId="0">
      <selection activeCell="C8" sqref="C8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55" style="4" customWidth="1"/>
    <col min="4" max="4" width="11.140625" style="1" customWidth="1"/>
    <col min="5" max="5" width="11" style="1" bestFit="1" customWidth="1"/>
    <col min="6" max="9" width="9.140625" style="1"/>
    <col min="10" max="10" width="14.5703125" style="1" bestFit="1" customWidth="1"/>
    <col min="11" max="16384" width="9.140625" style="1"/>
  </cols>
  <sheetData>
    <row r="2" spans="1:4" x14ac:dyDescent="0.25">
      <c r="C2" s="7" t="s">
        <v>23</v>
      </c>
    </row>
    <row r="3" spans="1:4" s="2" customFormat="1" x14ac:dyDescent="0.25">
      <c r="A3" s="2" t="s">
        <v>22</v>
      </c>
      <c r="C3" s="3"/>
    </row>
    <row r="5" spans="1:4" x14ac:dyDescent="0.25">
      <c r="B5" s="1" t="s">
        <v>0</v>
      </c>
      <c r="C5" s="8" t="s">
        <v>1</v>
      </c>
    </row>
    <row r="7" spans="1:4" x14ac:dyDescent="0.25">
      <c r="C7" s="1"/>
      <c r="D7" s="15" t="s">
        <v>28</v>
      </c>
    </row>
    <row r="8" spans="1:4" x14ac:dyDescent="0.25">
      <c r="B8" s="1" t="s">
        <v>24</v>
      </c>
      <c r="C8" s="13" t="s">
        <v>37</v>
      </c>
      <c r="D8" s="12" t="s">
        <v>30</v>
      </c>
    </row>
    <row r="9" spans="1:4" x14ac:dyDescent="0.25">
      <c r="C9" s="14"/>
      <c r="D9" s="7"/>
    </row>
    <row r="10" spans="1:4" x14ac:dyDescent="0.25">
      <c r="B10" s="1" t="s">
        <v>27</v>
      </c>
      <c r="C10" s="23"/>
      <c r="D10" s="12" t="s">
        <v>31</v>
      </c>
    </row>
    <row r="11" spans="1:4" x14ac:dyDescent="0.25">
      <c r="C11" s="14"/>
      <c r="D11" s="7"/>
    </row>
    <row r="12" spans="1:4" x14ac:dyDescent="0.25">
      <c r="B12" s="1" t="s">
        <v>17</v>
      </c>
      <c r="C12" s="13" t="s">
        <v>142</v>
      </c>
      <c r="D12" s="12" t="s">
        <v>29</v>
      </c>
    </row>
    <row r="13" spans="1:4" x14ac:dyDescent="0.25">
      <c r="C13" s="1"/>
      <c r="D13" s="7"/>
    </row>
    <row r="14" spans="1:4" x14ac:dyDescent="0.25">
      <c r="C14" s="1"/>
    </row>
    <row r="15" spans="1:4" x14ac:dyDescent="0.25">
      <c r="C15" s="1"/>
    </row>
    <row r="16" spans="1:4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</sheetData>
  <sheetProtection selectLockedCells="1" sort="0" autoFilter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95250</xdr:colOff>
                    <xdr:row>14</xdr:row>
                    <xdr:rowOff>95250</xdr:rowOff>
                  </from>
                  <to>
                    <xdr:col>2</xdr:col>
                    <xdr:colOff>3667125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tnSearch">
              <controlPr defaultSize="0" print="0" autoFill="0" autoPict="0" macro="[0]!loadSearch">
                <anchor moveWithCells="1" sizeWithCells="1">
                  <from>
                    <xdr:col>4</xdr:col>
                    <xdr:colOff>19050</xdr:colOff>
                    <xdr:row>3</xdr:row>
                    <xdr:rowOff>123825</xdr:rowOff>
                  </from>
                  <to>
                    <xdr:col>6</xdr:col>
                    <xdr:colOff>476250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2:W26"/>
  <sheetViews>
    <sheetView tabSelected="1" workbookViewId="0">
      <pane xSplit="5" ySplit="4" topLeftCell="F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3" style="16" customWidth="1"/>
    <col min="4" max="4" width="15.5703125" style="1" bestFit="1" customWidth="1"/>
    <col min="5" max="5" width="40.5703125" style="17" customWidth="1"/>
    <col min="6" max="6" width="8.85546875" style="1" customWidth="1"/>
    <col min="7" max="7" width="22.85546875" style="1" customWidth="1"/>
    <col min="8" max="8" width="8.85546875" style="1" customWidth="1"/>
    <col min="9" max="9" width="25.140625" style="1" customWidth="1"/>
    <col min="10" max="10" width="8.85546875" style="1" customWidth="1"/>
    <col min="11" max="11" width="46.42578125" style="1" customWidth="1"/>
    <col min="12" max="12" width="9" style="1" customWidth="1"/>
    <col min="13" max="13" width="49.5703125" style="1" customWidth="1"/>
    <col min="14" max="14" width="11" style="1" customWidth="1"/>
    <col min="15" max="15" width="54.28515625" style="1" customWidth="1"/>
    <col min="16" max="16" width="18.85546875" style="16" customWidth="1"/>
    <col min="17" max="19" width="18.85546875" style="1" customWidth="1"/>
    <col min="20" max="20" width="18.85546875" style="39" customWidth="1"/>
    <col min="21" max="22" width="18.85546875" style="11" customWidth="1"/>
    <col min="23" max="23" width="17.42578125" style="31" bestFit="1" customWidth="1"/>
    <col min="24" max="16384" width="9.140625" style="9"/>
  </cols>
  <sheetData>
    <row r="2" spans="1:23" x14ac:dyDescent="0.25">
      <c r="C2" s="19" t="str">
        <f>'01 Dohvat MPC cijena &gt;'!C2</f>
        <v>v 1.00</v>
      </c>
      <c r="F2" s="6"/>
      <c r="G2" s="6"/>
    </row>
    <row r="3" spans="1:23" s="30" customFormat="1" x14ac:dyDescent="0.25">
      <c r="A3" s="26" t="s">
        <v>35</v>
      </c>
      <c r="B3" s="26"/>
      <c r="C3" s="27"/>
      <c r="D3" s="26"/>
      <c r="E3" s="28"/>
      <c r="F3" s="26"/>
      <c r="G3" s="26"/>
      <c r="H3" s="26"/>
      <c r="I3" s="26"/>
      <c r="J3" s="26"/>
      <c r="K3" s="26"/>
      <c r="L3" s="26"/>
      <c r="M3" s="26"/>
      <c r="N3" s="26"/>
      <c r="O3" s="26"/>
      <c r="P3" s="27"/>
      <c r="Q3" s="26"/>
      <c r="R3" s="26"/>
      <c r="S3" s="26"/>
      <c r="T3" s="40"/>
      <c r="U3" s="29"/>
      <c r="V3" s="29"/>
      <c r="W3" s="32"/>
    </row>
    <row r="4" spans="1:23" s="10" customFormat="1" x14ac:dyDescent="0.25">
      <c r="A4" s="5"/>
      <c r="B4" s="5" t="s">
        <v>2</v>
      </c>
      <c r="C4" s="5" t="s">
        <v>25</v>
      </c>
      <c r="D4" s="5" t="s">
        <v>3</v>
      </c>
      <c r="E4" s="18" t="s">
        <v>4</v>
      </c>
      <c r="F4" s="5" t="s">
        <v>5</v>
      </c>
      <c r="G4" s="5" t="s">
        <v>6</v>
      </c>
      <c r="H4" s="5" t="s">
        <v>7</v>
      </c>
      <c r="I4" s="5" t="s">
        <v>8</v>
      </c>
      <c r="J4" s="5" t="s">
        <v>9</v>
      </c>
      <c r="K4" s="5" t="s">
        <v>10</v>
      </c>
      <c r="L4" s="5" t="s">
        <v>11</v>
      </c>
      <c r="M4" s="5" t="s">
        <v>12</v>
      </c>
      <c r="N4" s="5" t="s">
        <v>13</v>
      </c>
      <c r="O4" s="5" t="s">
        <v>14</v>
      </c>
      <c r="P4" s="5" t="s">
        <v>20</v>
      </c>
      <c r="Q4" s="5" t="s">
        <v>26</v>
      </c>
      <c r="R4" s="5" t="s">
        <v>18</v>
      </c>
      <c r="S4" s="5" t="s">
        <v>19</v>
      </c>
      <c r="T4" s="41" t="s">
        <v>21</v>
      </c>
      <c r="U4" s="5" t="s">
        <v>15</v>
      </c>
      <c r="V4" s="5" t="s">
        <v>16</v>
      </c>
      <c r="W4" s="33" t="s">
        <v>34</v>
      </c>
    </row>
    <row r="5" spans="1:23" x14ac:dyDescent="0.25">
      <c r="B5" s="20" t="s">
        <v>39</v>
      </c>
      <c r="C5" s="21">
        <v>353947</v>
      </c>
      <c r="D5" s="20" t="s">
        <v>40</v>
      </c>
      <c r="E5" s="22" t="s">
        <v>41</v>
      </c>
      <c r="F5" s="20" t="s">
        <v>32</v>
      </c>
      <c r="G5" s="20" t="s">
        <v>33</v>
      </c>
      <c r="H5" s="20" t="s">
        <v>42</v>
      </c>
      <c r="I5" s="20" t="s">
        <v>43</v>
      </c>
      <c r="J5" s="20" t="s">
        <v>44</v>
      </c>
      <c r="K5" s="20" t="s">
        <v>45</v>
      </c>
      <c r="L5" s="20" t="s">
        <v>46</v>
      </c>
      <c r="M5" s="20" t="s">
        <v>47</v>
      </c>
      <c r="N5" s="20" t="s">
        <v>48</v>
      </c>
      <c r="O5" s="20" t="s">
        <v>41</v>
      </c>
      <c r="P5" s="21">
        <v>7200</v>
      </c>
      <c r="Q5" s="20" t="s">
        <v>38</v>
      </c>
      <c r="R5" s="24">
        <v>45057</v>
      </c>
      <c r="S5" s="24">
        <v>45063</v>
      </c>
      <c r="T5" s="43">
        <v>0.89</v>
      </c>
      <c r="U5" s="25">
        <v>2</v>
      </c>
      <c r="V5" s="25">
        <v>1</v>
      </c>
      <c r="W5" s="25" t="s">
        <v>36</v>
      </c>
    </row>
    <row r="6" spans="1:23" x14ac:dyDescent="0.25">
      <c r="B6" s="20" t="s">
        <v>49</v>
      </c>
      <c r="C6" s="21">
        <v>354029</v>
      </c>
      <c r="D6" s="20" t="s">
        <v>50</v>
      </c>
      <c r="E6" s="22" t="s">
        <v>51</v>
      </c>
      <c r="F6" s="20" t="s">
        <v>32</v>
      </c>
      <c r="G6" s="20" t="s">
        <v>33</v>
      </c>
      <c r="H6" s="20" t="s">
        <v>42</v>
      </c>
      <c r="I6" s="20" t="s">
        <v>43</v>
      </c>
      <c r="J6" s="20" t="s">
        <v>44</v>
      </c>
      <c r="K6" s="20" t="s">
        <v>45</v>
      </c>
      <c r="L6" s="20" t="s">
        <v>52</v>
      </c>
      <c r="M6" s="20" t="s">
        <v>53</v>
      </c>
      <c r="N6" s="20" t="s">
        <v>54</v>
      </c>
      <c r="O6" s="20" t="s">
        <v>55</v>
      </c>
      <c r="P6" s="21">
        <v>7200</v>
      </c>
      <c r="Q6" s="20" t="s">
        <v>38</v>
      </c>
      <c r="R6" s="24">
        <v>45057</v>
      </c>
      <c r="S6" s="24">
        <v>45063</v>
      </c>
      <c r="T6" s="43">
        <v>5.99</v>
      </c>
      <c r="U6" s="25">
        <v>2</v>
      </c>
      <c r="V6" s="25">
        <v>1</v>
      </c>
      <c r="W6" s="25" t="s">
        <v>36</v>
      </c>
    </row>
    <row r="7" spans="1:23" x14ac:dyDescent="0.25">
      <c r="B7" s="34" t="s">
        <v>56</v>
      </c>
      <c r="C7" s="35">
        <v>354110</v>
      </c>
      <c r="D7" s="34" t="s">
        <v>57</v>
      </c>
      <c r="E7" s="36" t="s">
        <v>58</v>
      </c>
      <c r="F7" s="34" t="s">
        <v>32</v>
      </c>
      <c r="G7" s="34" t="s">
        <v>33</v>
      </c>
      <c r="H7" s="34" t="s">
        <v>42</v>
      </c>
      <c r="I7" s="34" t="s">
        <v>43</v>
      </c>
      <c r="J7" s="34" t="s">
        <v>59</v>
      </c>
      <c r="K7" s="34" t="s">
        <v>60</v>
      </c>
      <c r="L7" s="34" t="s">
        <v>61</v>
      </c>
      <c r="M7" s="34" t="s">
        <v>62</v>
      </c>
      <c r="N7" s="34" t="s">
        <v>63</v>
      </c>
      <c r="O7" s="34" t="s">
        <v>64</v>
      </c>
      <c r="P7" s="35">
        <v>7200</v>
      </c>
      <c r="Q7" s="34" t="s">
        <v>38</v>
      </c>
      <c r="R7" s="37">
        <v>45050</v>
      </c>
      <c r="S7" s="37">
        <v>45056</v>
      </c>
      <c r="T7" s="42">
        <v>0.79</v>
      </c>
      <c r="U7" s="38">
        <v>2</v>
      </c>
      <c r="V7" s="38">
        <v>1</v>
      </c>
      <c r="W7" s="38" t="s">
        <v>36</v>
      </c>
    </row>
    <row r="8" spans="1:23" x14ac:dyDescent="0.25">
      <c r="B8" s="20" t="s">
        <v>65</v>
      </c>
      <c r="C8" s="21">
        <v>354193</v>
      </c>
      <c r="D8" s="20" t="s">
        <v>66</v>
      </c>
      <c r="E8" s="22" t="s">
        <v>67</v>
      </c>
      <c r="F8" s="20" t="s">
        <v>32</v>
      </c>
      <c r="G8" s="20" t="s">
        <v>33</v>
      </c>
      <c r="H8" s="20" t="s">
        <v>42</v>
      </c>
      <c r="I8" s="20" t="s">
        <v>43</v>
      </c>
      <c r="J8" s="20" t="s">
        <v>44</v>
      </c>
      <c r="K8" s="20" t="s">
        <v>45</v>
      </c>
      <c r="L8" s="20" t="s">
        <v>46</v>
      </c>
      <c r="M8" s="20" t="s">
        <v>47</v>
      </c>
      <c r="N8" s="20" t="s">
        <v>68</v>
      </c>
      <c r="O8" s="20" t="s">
        <v>69</v>
      </c>
      <c r="P8" s="21">
        <v>7200</v>
      </c>
      <c r="Q8" s="20" t="s">
        <v>38</v>
      </c>
      <c r="R8" s="24">
        <v>45057</v>
      </c>
      <c r="S8" s="24">
        <v>45063</v>
      </c>
      <c r="T8" s="43">
        <v>0.89</v>
      </c>
      <c r="U8" s="25">
        <v>2</v>
      </c>
      <c r="V8" s="25">
        <v>1</v>
      </c>
      <c r="W8" s="25" t="s">
        <v>36</v>
      </c>
    </row>
    <row r="9" spans="1:23" x14ac:dyDescent="0.25">
      <c r="B9" s="34" t="s">
        <v>70</v>
      </c>
      <c r="C9" s="35">
        <v>354220</v>
      </c>
      <c r="D9" s="34" t="s">
        <v>71</v>
      </c>
      <c r="E9" s="36" t="s">
        <v>72</v>
      </c>
      <c r="F9" s="34" t="s">
        <v>32</v>
      </c>
      <c r="G9" s="34" t="s">
        <v>33</v>
      </c>
      <c r="H9" s="34" t="s">
        <v>42</v>
      </c>
      <c r="I9" s="34" t="s">
        <v>43</v>
      </c>
      <c r="J9" s="34" t="s">
        <v>59</v>
      </c>
      <c r="K9" s="34" t="s">
        <v>60</v>
      </c>
      <c r="L9" s="34" t="s">
        <v>61</v>
      </c>
      <c r="M9" s="34" t="s">
        <v>62</v>
      </c>
      <c r="N9" s="34" t="s">
        <v>73</v>
      </c>
      <c r="O9" s="34" t="s">
        <v>74</v>
      </c>
      <c r="P9" s="35">
        <v>7200</v>
      </c>
      <c r="Q9" s="34" t="s">
        <v>38</v>
      </c>
      <c r="R9" s="37">
        <v>45050</v>
      </c>
      <c r="S9" s="37">
        <v>45056</v>
      </c>
      <c r="T9" s="42">
        <v>1.65</v>
      </c>
      <c r="U9" s="38">
        <v>2</v>
      </c>
      <c r="V9" s="38">
        <v>1</v>
      </c>
      <c r="W9" s="38" t="s">
        <v>36</v>
      </c>
    </row>
    <row r="10" spans="1:23" x14ac:dyDescent="0.25">
      <c r="B10" s="20" t="s">
        <v>75</v>
      </c>
      <c r="C10" s="21">
        <v>354279</v>
      </c>
      <c r="D10" s="20" t="s">
        <v>76</v>
      </c>
      <c r="E10" s="22" t="s">
        <v>77</v>
      </c>
      <c r="F10" s="20" t="s">
        <v>32</v>
      </c>
      <c r="G10" s="20" t="s">
        <v>33</v>
      </c>
      <c r="H10" s="20" t="s">
        <v>42</v>
      </c>
      <c r="I10" s="20" t="s">
        <v>43</v>
      </c>
      <c r="J10" s="20" t="s">
        <v>44</v>
      </c>
      <c r="K10" s="20" t="s">
        <v>45</v>
      </c>
      <c r="L10" s="20" t="s">
        <v>46</v>
      </c>
      <c r="M10" s="20" t="s">
        <v>47</v>
      </c>
      <c r="N10" s="20" t="s">
        <v>78</v>
      </c>
      <c r="O10" s="20" t="s">
        <v>79</v>
      </c>
      <c r="P10" s="21">
        <v>7200</v>
      </c>
      <c r="Q10" s="20" t="s">
        <v>38</v>
      </c>
      <c r="R10" s="24">
        <v>45057</v>
      </c>
      <c r="S10" s="24">
        <v>45063</v>
      </c>
      <c r="T10" s="43">
        <v>1.39</v>
      </c>
      <c r="U10" s="25">
        <v>2</v>
      </c>
      <c r="V10" s="25">
        <v>1</v>
      </c>
      <c r="W10" s="25" t="s">
        <v>36</v>
      </c>
    </row>
    <row r="11" spans="1:23" x14ac:dyDescent="0.25">
      <c r="B11" s="34" t="s">
        <v>80</v>
      </c>
      <c r="C11" s="35">
        <v>354560</v>
      </c>
      <c r="D11" s="34" t="s">
        <v>81</v>
      </c>
      <c r="E11" s="36" t="s">
        <v>82</v>
      </c>
      <c r="F11" s="34" t="s">
        <v>32</v>
      </c>
      <c r="G11" s="34" t="s">
        <v>33</v>
      </c>
      <c r="H11" s="34" t="s">
        <v>42</v>
      </c>
      <c r="I11" s="34" t="s">
        <v>43</v>
      </c>
      <c r="J11" s="34" t="s">
        <v>59</v>
      </c>
      <c r="K11" s="34" t="s">
        <v>60</v>
      </c>
      <c r="L11" s="34" t="s">
        <v>61</v>
      </c>
      <c r="M11" s="34" t="s">
        <v>62</v>
      </c>
      <c r="N11" s="34" t="s">
        <v>83</v>
      </c>
      <c r="O11" s="34" t="s">
        <v>84</v>
      </c>
      <c r="P11" s="35">
        <v>7200</v>
      </c>
      <c r="Q11" s="34" t="s">
        <v>38</v>
      </c>
      <c r="R11" s="37">
        <v>45050</v>
      </c>
      <c r="S11" s="37">
        <v>45056</v>
      </c>
      <c r="T11" s="42">
        <v>0.75</v>
      </c>
      <c r="U11" s="38">
        <v>2</v>
      </c>
      <c r="V11" s="38">
        <v>1</v>
      </c>
      <c r="W11" s="38" t="s">
        <v>36</v>
      </c>
    </row>
    <row r="12" spans="1:23" x14ac:dyDescent="0.25">
      <c r="B12" s="20" t="s">
        <v>85</v>
      </c>
      <c r="C12" s="21">
        <v>354719</v>
      </c>
      <c r="D12" s="20" t="s">
        <v>86</v>
      </c>
      <c r="E12" s="22" t="s">
        <v>87</v>
      </c>
      <c r="F12" s="20" t="s">
        <v>32</v>
      </c>
      <c r="G12" s="20" t="s">
        <v>33</v>
      </c>
      <c r="H12" s="20" t="s">
        <v>42</v>
      </c>
      <c r="I12" s="20" t="s">
        <v>43</v>
      </c>
      <c r="J12" s="20" t="s">
        <v>59</v>
      </c>
      <c r="K12" s="20" t="s">
        <v>60</v>
      </c>
      <c r="L12" s="20" t="s">
        <v>61</v>
      </c>
      <c r="M12" s="20" t="s">
        <v>62</v>
      </c>
      <c r="N12" s="20" t="s">
        <v>88</v>
      </c>
      <c r="O12" s="20" t="s">
        <v>89</v>
      </c>
      <c r="P12" s="21">
        <v>7200</v>
      </c>
      <c r="Q12" s="20" t="s">
        <v>38</v>
      </c>
      <c r="R12" s="24">
        <v>45057</v>
      </c>
      <c r="S12" s="24">
        <v>45063</v>
      </c>
      <c r="T12" s="43">
        <v>1.35</v>
      </c>
      <c r="U12" s="25">
        <v>2</v>
      </c>
      <c r="V12" s="25">
        <v>1</v>
      </c>
      <c r="W12" s="25" t="s">
        <v>36</v>
      </c>
    </row>
    <row r="13" spans="1:23" x14ac:dyDescent="0.25">
      <c r="B13" s="20" t="s">
        <v>90</v>
      </c>
      <c r="C13" s="21">
        <v>354783</v>
      </c>
      <c r="D13" s="20" t="s">
        <v>91</v>
      </c>
      <c r="E13" s="22" t="s">
        <v>92</v>
      </c>
      <c r="F13" s="20" t="s">
        <v>32</v>
      </c>
      <c r="G13" s="20" t="s">
        <v>33</v>
      </c>
      <c r="H13" s="20" t="s">
        <v>42</v>
      </c>
      <c r="I13" s="20" t="s">
        <v>43</v>
      </c>
      <c r="J13" s="20" t="s">
        <v>59</v>
      </c>
      <c r="K13" s="20" t="s">
        <v>60</v>
      </c>
      <c r="L13" s="20" t="s">
        <v>61</v>
      </c>
      <c r="M13" s="20" t="s">
        <v>62</v>
      </c>
      <c r="N13" s="20" t="s">
        <v>93</v>
      </c>
      <c r="O13" s="20" t="s">
        <v>94</v>
      </c>
      <c r="P13" s="21">
        <v>7200</v>
      </c>
      <c r="Q13" s="20" t="s">
        <v>38</v>
      </c>
      <c r="R13" s="24">
        <v>45057</v>
      </c>
      <c r="S13" s="24">
        <v>45063</v>
      </c>
      <c r="T13" s="43">
        <v>1.35</v>
      </c>
      <c r="U13" s="25">
        <v>2</v>
      </c>
      <c r="V13" s="25">
        <v>1</v>
      </c>
      <c r="W13" s="25" t="s">
        <v>36</v>
      </c>
    </row>
    <row r="14" spans="1:23" x14ac:dyDescent="0.25">
      <c r="B14" s="20" t="s">
        <v>95</v>
      </c>
      <c r="C14" s="21">
        <v>355335</v>
      </c>
      <c r="D14" s="20" t="s">
        <v>96</v>
      </c>
      <c r="E14" s="22" t="s">
        <v>97</v>
      </c>
      <c r="F14" s="20" t="s">
        <v>32</v>
      </c>
      <c r="G14" s="20" t="s">
        <v>33</v>
      </c>
      <c r="H14" s="20" t="s">
        <v>42</v>
      </c>
      <c r="I14" s="20" t="s">
        <v>43</v>
      </c>
      <c r="J14" s="20" t="s">
        <v>59</v>
      </c>
      <c r="K14" s="20" t="s">
        <v>60</v>
      </c>
      <c r="L14" s="20" t="s">
        <v>61</v>
      </c>
      <c r="M14" s="20" t="s">
        <v>62</v>
      </c>
      <c r="N14" s="20" t="s">
        <v>83</v>
      </c>
      <c r="O14" s="20" t="s">
        <v>84</v>
      </c>
      <c r="P14" s="21">
        <v>7200</v>
      </c>
      <c r="Q14" s="20" t="s">
        <v>38</v>
      </c>
      <c r="R14" s="24">
        <v>45057</v>
      </c>
      <c r="S14" s="24">
        <v>45063</v>
      </c>
      <c r="T14" s="43">
        <v>0.55000000000000004</v>
      </c>
      <c r="U14" s="25">
        <v>2</v>
      </c>
      <c r="V14" s="25">
        <v>1</v>
      </c>
      <c r="W14" s="25" t="s">
        <v>36</v>
      </c>
    </row>
    <row r="15" spans="1:23" x14ac:dyDescent="0.25">
      <c r="B15" s="34" t="s">
        <v>98</v>
      </c>
      <c r="C15" s="35">
        <v>355729</v>
      </c>
      <c r="D15" s="34" t="s">
        <v>99</v>
      </c>
      <c r="E15" s="36" t="s">
        <v>100</v>
      </c>
      <c r="F15" s="34" t="s">
        <v>32</v>
      </c>
      <c r="G15" s="34" t="s">
        <v>33</v>
      </c>
      <c r="H15" s="34" t="s">
        <v>42</v>
      </c>
      <c r="I15" s="34" t="s">
        <v>43</v>
      </c>
      <c r="J15" s="34" t="s">
        <v>44</v>
      </c>
      <c r="K15" s="34" t="s">
        <v>45</v>
      </c>
      <c r="L15" s="34" t="s">
        <v>46</v>
      </c>
      <c r="M15" s="34" t="s">
        <v>47</v>
      </c>
      <c r="N15" s="34" t="s">
        <v>101</v>
      </c>
      <c r="O15" s="34" t="s">
        <v>102</v>
      </c>
      <c r="P15" s="35">
        <v>7200</v>
      </c>
      <c r="Q15" s="34" t="s">
        <v>38</v>
      </c>
      <c r="R15" s="37">
        <v>45050</v>
      </c>
      <c r="S15" s="37">
        <v>45056</v>
      </c>
      <c r="T15" s="42">
        <v>1.99</v>
      </c>
      <c r="U15" s="38">
        <v>2</v>
      </c>
      <c r="V15" s="38">
        <v>1</v>
      </c>
      <c r="W15" s="38" t="s">
        <v>36</v>
      </c>
    </row>
    <row r="16" spans="1:23" x14ac:dyDescent="0.25">
      <c r="B16" s="20" t="s">
        <v>103</v>
      </c>
      <c r="C16" s="21">
        <v>355817</v>
      </c>
      <c r="D16" s="20" t="s">
        <v>104</v>
      </c>
      <c r="E16" s="22" t="s">
        <v>105</v>
      </c>
      <c r="F16" s="20" t="s">
        <v>32</v>
      </c>
      <c r="G16" s="20" t="s">
        <v>33</v>
      </c>
      <c r="H16" s="20" t="s">
        <v>42</v>
      </c>
      <c r="I16" s="20" t="s">
        <v>43</v>
      </c>
      <c r="J16" s="20" t="s">
        <v>59</v>
      </c>
      <c r="K16" s="20" t="s">
        <v>60</v>
      </c>
      <c r="L16" s="20" t="s">
        <v>61</v>
      </c>
      <c r="M16" s="20" t="s">
        <v>62</v>
      </c>
      <c r="N16" s="20" t="s">
        <v>73</v>
      </c>
      <c r="O16" s="20" t="s">
        <v>74</v>
      </c>
      <c r="P16" s="21">
        <v>7200</v>
      </c>
      <c r="Q16" s="20" t="s">
        <v>38</v>
      </c>
      <c r="R16" s="24">
        <v>45057</v>
      </c>
      <c r="S16" s="24">
        <v>45063</v>
      </c>
      <c r="T16" s="43">
        <v>1.99</v>
      </c>
      <c r="U16" s="25">
        <v>2</v>
      </c>
      <c r="V16" s="25">
        <v>1</v>
      </c>
      <c r="W16" s="25" t="s">
        <v>36</v>
      </c>
    </row>
    <row r="17" spans="2:23" x14ac:dyDescent="0.25">
      <c r="B17" s="34" t="s">
        <v>106</v>
      </c>
      <c r="C17" s="35">
        <v>356690</v>
      </c>
      <c r="D17" s="34" t="s">
        <v>107</v>
      </c>
      <c r="E17" s="36" t="s">
        <v>108</v>
      </c>
      <c r="F17" s="34" t="s">
        <v>32</v>
      </c>
      <c r="G17" s="34" t="s">
        <v>33</v>
      </c>
      <c r="H17" s="34" t="s">
        <v>42</v>
      </c>
      <c r="I17" s="34" t="s">
        <v>43</v>
      </c>
      <c r="J17" s="34" t="s">
        <v>44</v>
      </c>
      <c r="K17" s="34" t="s">
        <v>45</v>
      </c>
      <c r="L17" s="34" t="s">
        <v>46</v>
      </c>
      <c r="M17" s="34" t="s">
        <v>47</v>
      </c>
      <c r="N17" s="34" t="s">
        <v>109</v>
      </c>
      <c r="O17" s="34" t="s">
        <v>110</v>
      </c>
      <c r="P17" s="35">
        <v>7200</v>
      </c>
      <c r="Q17" s="34" t="s">
        <v>38</v>
      </c>
      <c r="R17" s="37">
        <v>45050</v>
      </c>
      <c r="S17" s="37">
        <v>45056</v>
      </c>
      <c r="T17" s="42">
        <v>0.99</v>
      </c>
      <c r="U17" s="38">
        <v>2</v>
      </c>
      <c r="V17" s="38">
        <v>1</v>
      </c>
      <c r="W17" s="38" t="s">
        <v>36</v>
      </c>
    </row>
    <row r="18" spans="2:23" x14ac:dyDescent="0.25">
      <c r="B18" s="20" t="s">
        <v>111</v>
      </c>
      <c r="C18" s="21">
        <v>358726</v>
      </c>
      <c r="D18" s="20" t="s">
        <v>112</v>
      </c>
      <c r="E18" s="22" t="s">
        <v>113</v>
      </c>
      <c r="F18" s="20" t="s">
        <v>32</v>
      </c>
      <c r="G18" s="20" t="s">
        <v>33</v>
      </c>
      <c r="H18" s="20" t="s">
        <v>42</v>
      </c>
      <c r="I18" s="20" t="s">
        <v>43</v>
      </c>
      <c r="J18" s="20" t="s">
        <v>44</v>
      </c>
      <c r="K18" s="20" t="s">
        <v>45</v>
      </c>
      <c r="L18" s="20" t="s">
        <v>46</v>
      </c>
      <c r="M18" s="20" t="s">
        <v>47</v>
      </c>
      <c r="N18" s="20" t="s">
        <v>48</v>
      </c>
      <c r="O18" s="20" t="s">
        <v>41</v>
      </c>
      <c r="P18" s="21">
        <v>7200</v>
      </c>
      <c r="Q18" s="20" t="s">
        <v>38</v>
      </c>
      <c r="R18" s="24">
        <v>45057</v>
      </c>
      <c r="S18" s="24">
        <v>45063</v>
      </c>
      <c r="T18" s="43">
        <v>0.44500000000000001</v>
      </c>
      <c r="U18" s="25">
        <v>2</v>
      </c>
      <c r="V18" s="25">
        <v>1</v>
      </c>
      <c r="W18" s="25" t="s">
        <v>36</v>
      </c>
    </row>
    <row r="19" spans="2:23" x14ac:dyDescent="0.25">
      <c r="B19" s="20" t="s">
        <v>114</v>
      </c>
      <c r="C19" s="21">
        <v>359754</v>
      </c>
      <c r="D19" s="20" t="s">
        <v>115</v>
      </c>
      <c r="E19" s="22" t="s">
        <v>116</v>
      </c>
      <c r="F19" s="20" t="s">
        <v>32</v>
      </c>
      <c r="G19" s="20" t="s">
        <v>33</v>
      </c>
      <c r="H19" s="20" t="s">
        <v>42</v>
      </c>
      <c r="I19" s="20" t="s">
        <v>43</v>
      </c>
      <c r="J19" s="20" t="s">
        <v>44</v>
      </c>
      <c r="K19" s="20" t="s">
        <v>45</v>
      </c>
      <c r="L19" s="20" t="s">
        <v>46</v>
      </c>
      <c r="M19" s="20" t="s">
        <v>47</v>
      </c>
      <c r="N19" s="20" t="s">
        <v>78</v>
      </c>
      <c r="O19" s="20" t="s">
        <v>79</v>
      </c>
      <c r="P19" s="21">
        <v>7200</v>
      </c>
      <c r="Q19" s="20" t="s">
        <v>38</v>
      </c>
      <c r="R19" s="24">
        <v>45057</v>
      </c>
      <c r="S19" s="24">
        <v>45063</v>
      </c>
      <c r="T19" s="43">
        <v>0.69499999999999995</v>
      </c>
      <c r="U19" s="25">
        <v>2</v>
      </c>
      <c r="V19" s="25">
        <v>1</v>
      </c>
      <c r="W19" s="25" t="s">
        <v>36</v>
      </c>
    </row>
    <row r="20" spans="2:23" x14ac:dyDescent="0.25">
      <c r="B20" s="20" t="s">
        <v>117</v>
      </c>
      <c r="C20" s="21">
        <v>383416</v>
      </c>
      <c r="D20" s="20" t="s">
        <v>118</v>
      </c>
      <c r="E20" s="22" t="s">
        <v>119</v>
      </c>
      <c r="F20" s="20" t="s">
        <v>32</v>
      </c>
      <c r="G20" s="20" t="s">
        <v>33</v>
      </c>
      <c r="H20" s="20" t="s">
        <v>42</v>
      </c>
      <c r="I20" s="20" t="s">
        <v>43</v>
      </c>
      <c r="J20" s="20" t="s">
        <v>44</v>
      </c>
      <c r="K20" s="20" t="s">
        <v>45</v>
      </c>
      <c r="L20" s="20" t="s">
        <v>46</v>
      </c>
      <c r="M20" s="20" t="s">
        <v>47</v>
      </c>
      <c r="N20" s="20" t="s">
        <v>109</v>
      </c>
      <c r="O20" s="20" t="s">
        <v>110</v>
      </c>
      <c r="P20" s="21">
        <v>7200</v>
      </c>
      <c r="Q20" s="20" t="s">
        <v>38</v>
      </c>
      <c r="R20" s="24">
        <v>45057</v>
      </c>
      <c r="S20" s="24">
        <v>45063</v>
      </c>
      <c r="T20" s="43">
        <v>0.99</v>
      </c>
      <c r="U20" s="25">
        <v>2</v>
      </c>
      <c r="V20" s="25">
        <v>1</v>
      </c>
      <c r="W20" s="25" t="s">
        <v>36</v>
      </c>
    </row>
    <row r="21" spans="2:23" x14ac:dyDescent="0.25">
      <c r="B21" s="34" t="s">
        <v>120</v>
      </c>
      <c r="C21" s="35">
        <v>383429</v>
      </c>
      <c r="D21" s="34" t="s">
        <v>121</v>
      </c>
      <c r="E21" s="36" t="s">
        <v>122</v>
      </c>
      <c r="F21" s="34" t="s">
        <v>32</v>
      </c>
      <c r="G21" s="34" t="s">
        <v>33</v>
      </c>
      <c r="H21" s="34" t="s">
        <v>42</v>
      </c>
      <c r="I21" s="34" t="s">
        <v>43</v>
      </c>
      <c r="J21" s="34" t="s">
        <v>44</v>
      </c>
      <c r="K21" s="34" t="s">
        <v>45</v>
      </c>
      <c r="L21" s="34" t="s">
        <v>46</v>
      </c>
      <c r="M21" s="34" t="s">
        <v>47</v>
      </c>
      <c r="N21" s="34" t="s">
        <v>48</v>
      </c>
      <c r="O21" s="34" t="s">
        <v>41</v>
      </c>
      <c r="P21" s="35">
        <v>7200</v>
      </c>
      <c r="Q21" s="34" t="s">
        <v>38</v>
      </c>
      <c r="R21" s="37">
        <v>45050</v>
      </c>
      <c r="S21" s="37">
        <v>45056</v>
      </c>
      <c r="T21" s="42">
        <v>1.89</v>
      </c>
      <c r="U21" s="38">
        <v>2</v>
      </c>
      <c r="V21" s="38">
        <v>1</v>
      </c>
      <c r="W21" s="38" t="s">
        <v>36</v>
      </c>
    </row>
    <row r="22" spans="2:23" x14ac:dyDescent="0.25">
      <c r="B22" s="34" t="s">
        <v>123</v>
      </c>
      <c r="C22" s="35">
        <v>383431</v>
      </c>
      <c r="D22" s="34" t="s">
        <v>124</v>
      </c>
      <c r="E22" s="36" t="s">
        <v>125</v>
      </c>
      <c r="F22" s="34" t="s">
        <v>32</v>
      </c>
      <c r="G22" s="34" t="s">
        <v>33</v>
      </c>
      <c r="H22" s="34" t="s">
        <v>42</v>
      </c>
      <c r="I22" s="34" t="s">
        <v>43</v>
      </c>
      <c r="J22" s="34" t="s">
        <v>59</v>
      </c>
      <c r="K22" s="34" t="s">
        <v>60</v>
      </c>
      <c r="L22" s="34" t="s">
        <v>61</v>
      </c>
      <c r="M22" s="34" t="s">
        <v>62</v>
      </c>
      <c r="N22" s="34" t="s">
        <v>126</v>
      </c>
      <c r="O22" s="34" t="s">
        <v>127</v>
      </c>
      <c r="P22" s="35">
        <v>7200</v>
      </c>
      <c r="Q22" s="34" t="s">
        <v>38</v>
      </c>
      <c r="R22" s="37">
        <v>45050</v>
      </c>
      <c r="S22" s="37">
        <v>45056</v>
      </c>
      <c r="T22" s="42">
        <v>2.19</v>
      </c>
      <c r="U22" s="38">
        <v>2</v>
      </c>
      <c r="V22" s="38">
        <v>1</v>
      </c>
      <c r="W22" s="38" t="s">
        <v>36</v>
      </c>
    </row>
    <row r="23" spans="2:23" x14ac:dyDescent="0.25">
      <c r="B23" s="20" t="s">
        <v>128</v>
      </c>
      <c r="C23" s="21">
        <v>412100</v>
      </c>
      <c r="D23" s="20" t="s">
        <v>129</v>
      </c>
      <c r="E23" s="22" t="s">
        <v>130</v>
      </c>
      <c r="F23" s="20" t="s">
        <v>32</v>
      </c>
      <c r="G23" s="20" t="s">
        <v>33</v>
      </c>
      <c r="H23" s="20" t="s">
        <v>42</v>
      </c>
      <c r="I23" s="20" t="s">
        <v>43</v>
      </c>
      <c r="J23" s="20" t="s">
        <v>44</v>
      </c>
      <c r="K23" s="20" t="s">
        <v>45</v>
      </c>
      <c r="L23" s="20" t="s">
        <v>46</v>
      </c>
      <c r="M23" s="20" t="s">
        <v>47</v>
      </c>
      <c r="N23" s="20" t="s">
        <v>109</v>
      </c>
      <c r="O23" s="20" t="s">
        <v>110</v>
      </c>
      <c r="P23" s="21">
        <v>7200</v>
      </c>
      <c r="Q23" s="20" t="s">
        <v>38</v>
      </c>
      <c r="R23" s="24">
        <v>45057</v>
      </c>
      <c r="S23" s="24">
        <v>45063</v>
      </c>
      <c r="T23" s="43">
        <v>0.495</v>
      </c>
      <c r="U23" s="25">
        <v>2</v>
      </c>
      <c r="V23" s="25">
        <v>1</v>
      </c>
      <c r="W23" s="25" t="s">
        <v>36</v>
      </c>
    </row>
    <row r="24" spans="2:23" x14ac:dyDescent="0.25">
      <c r="B24" s="34" t="s">
        <v>131</v>
      </c>
      <c r="C24" s="35">
        <v>412136</v>
      </c>
      <c r="D24" s="34" t="s">
        <v>132</v>
      </c>
      <c r="E24" s="36" t="s">
        <v>133</v>
      </c>
      <c r="F24" s="34" t="s">
        <v>32</v>
      </c>
      <c r="G24" s="34" t="s">
        <v>33</v>
      </c>
      <c r="H24" s="34" t="s">
        <v>42</v>
      </c>
      <c r="I24" s="34" t="s">
        <v>43</v>
      </c>
      <c r="J24" s="34" t="s">
        <v>44</v>
      </c>
      <c r="K24" s="34" t="s">
        <v>45</v>
      </c>
      <c r="L24" s="34" t="s">
        <v>46</v>
      </c>
      <c r="M24" s="34" t="s">
        <v>47</v>
      </c>
      <c r="N24" s="34" t="s">
        <v>109</v>
      </c>
      <c r="O24" s="34" t="s">
        <v>110</v>
      </c>
      <c r="P24" s="35">
        <v>7200</v>
      </c>
      <c r="Q24" s="34" t="s">
        <v>38</v>
      </c>
      <c r="R24" s="37">
        <v>45050</v>
      </c>
      <c r="S24" s="37">
        <v>45056</v>
      </c>
      <c r="T24" s="42">
        <v>0.495</v>
      </c>
      <c r="U24" s="38">
        <v>2</v>
      </c>
      <c r="V24" s="38">
        <v>1</v>
      </c>
      <c r="W24" s="38" t="s">
        <v>36</v>
      </c>
    </row>
    <row r="25" spans="2:23" x14ac:dyDescent="0.25">
      <c r="B25" s="34" t="s">
        <v>134</v>
      </c>
      <c r="C25" s="35">
        <v>703401</v>
      </c>
      <c r="D25" s="34" t="s">
        <v>135</v>
      </c>
      <c r="E25" s="36" t="s">
        <v>136</v>
      </c>
      <c r="F25" s="34" t="s">
        <v>32</v>
      </c>
      <c r="G25" s="34" t="s">
        <v>33</v>
      </c>
      <c r="H25" s="34" t="s">
        <v>42</v>
      </c>
      <c r="I25" s="34" t="s">
        <v>43</v>
      </c>
      <c r="J25" s="34" t="s">
        <v>59</v>
      </c>
      <c r="K25" s="34" t="s">
        <v>60</v>
      </c>
      <c r="L25" s="34" t="s">
        <v>61</v>
      </c>
      <c r="M25" s="34" t="s">
        <v>62</v>
      </c>
      <c r="N25" s="34" t="s">
        <v>137</v>
      </c>
      <c r="O25" s="34" t="s">
        <v>138</v>
      </c>
      <c r="P25" s="35">
        <v>7200</v>
      </c>
      <c r="Q25" s="34" t="s">
        <v>38</v>
      </c>
      <c r="R25" s="37">
        <v>45050</v>
      </c>
      <c r="S25" s="37">
        <v>45056</v>
      </c>
      <c r="T25" s="42">
        <v>1.19</v>
      </c>
      <c r="U25" s="38">
        <v>2</v>
      </c>
      <c r="V25" s="38">
        <v>1</v>
      </c>
      <c r="W25" s="38" t="s">
        <v>36</v>
      </c>
    </row>
    <row r="26" spans="2:23" x14ac:dyDescent="0.25">
      <c r="B26" s="20" t="s">
        <v>139</v>
      </c>
      <c r="C26" s="21">
        <v>726832</v>
      </c>
      <c r="D26" s="20" t="s">
        <v>140</v>
      </c>
      <c r="E26" s="22" t="s">
        <v>141</v>
      </c>
      <c r="F26" s="20" t="s">
        <v>32</v>
      </c>
      <c r="G26" s="20" t="s">
        <v>33</v>
      </c>
      <c r="H26" s="20" t="s">
        <v>42</v>
      </c>
      <c r="I26" s="20" t="s">
        <v>43</v>
      </c>
      <c r="J26" s="20" t="s">
        <v>44</v>
      </c>
      <c r="K26" s="20" t="s">
        <v>45</v>
      </c>
      <c r="L26" s="20" t="s">
        <v>46</v>
      </c>
      <c r="M26" s="20" t="s">
        <v>47</v>
      </c>
      <c r="N26" s="20" t="s">
        <v>68</v>
      </c>
      <c r="O26" s="20" t="s">
        <v>69</v>
      </c>
      <c r="P26" s="21">
        <v>7200</v>
      </c>
      <c r="Q26" s="20" t="s">
        <v>38</v>
      </c>
      <c r="R26" s="24">
        <v>45057</v>
      </c>
      <c r="S26" s="24">
        <v>45063</v>
      </c>
      <c r="T26" s="43">
        <v>0.44500000000000001</v>
      </c>
      <c r="U26" s="25">
        <v>2</v>
      </c>
      <c r="V26" s="25">
        <v>1</v>
      </c>
      <c r="W26" s="25" t="s">
        <v>36</v>
      </c>
    </row>
  </sheetData>
  <autoFilter ref="B4:W4" xr:uid="{301B7D2A-FAAA-42D9-926D-E3B6AD22DB3A}"/>
  <conditionalFormatting sqref="W5:W26">
    <cfRule type="containsText" dxfId="0" priority="1" operator="containsText" text="DA">
      <formula>NOT(ISERROR(SEARCH("DA",W5)))</formula>
    </cfRule>
  </conditionalFormatting>
  <dataValidations count="1">
    <dataValidation type="list" allowBlank="1" showInputMessage="1" showErrorMessage="1" sqref="W5:W26" xr:uid="{CEB950E1-C54A-4EC1-8E0A-CDE63C64B461}">
      <formula1>"NE,DA"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tnSearch">
              <controlPr defaultSize="0" print="0" autoFill="0" autoPict="0" macro="[0]!killPrixes">
                <anchor moveWithCells="1" sizeWithCells="1">
                  <from>
                    <xdr:col>3</xdr:col>
                    <xdr:colOff>9525</xdr:colOff>
                    <xdr:row>0</xdr:row>
                    <xdr:rowOff>28575</xdr:rowOff>
                  </from>
                  <to>
                    <xdr:col>4</xdr:col>
                    <xdr:colOff>2657475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EBC4E3-0472-4CAB-B0DE-A9349CA3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 Dohvat MPC cijena &gt;</vt:lpstr>
      <vt:lpstr>02 Pregled i gašenje MPC cijena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2023-05-05T07:55:00Z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